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README &amp; Rating System" sheetId="1" state="visible" r:id="rId1"/>
    <sheet xmlns:r="http://schemas.openxmlformats.org/officeDocument/2006/relationships" name="01 LLMs" sheetId="2" state="visible" r:id="rId2"/>
    <sheet xmlns:r="http://schemas.openxmlformats.org/officeDocument/2006/relationships" name="02 Embeddings &amp; Rerank" sheetId="3" state="visible" r:id="rId3"/>
    <sheet xmlns:r="http://schemas.openxmlformats.org/officeDocument/2006/relationships" name="03 Image Generation" sheetId="4" state="visible" r:id="rId4"/>
    <sheet xmlns:r="http://schemas.openxmlformats.org/officeDocument/2006/relationships" name="04 Video Generation" sheetId="5" state="visible" r:id="rId5"/>
    <sheet xmlns:r="http://schemas.openxmlformats.org/officeDocument/2006/relationships" name="05 Audio &amp; Speech" sheetId="6" state="visible" r:id="rId6"/>
    <sheet xmlns:r="http://schemas.openxmlformats.org/officeDocument/2006/relationships" name="06 Vision-OCR-Document" sheetId="7" state="visible" r:id="rId7"/>
    <sheet xmlns:r="http://schemas.openxmlformats.org/officeDocument/2006/relationships" name="07 Moderation" sheetId="8" state="visible" r:id="rId8"/>
    <sheet xmlns:r="http://schemas.openxmlformats.org/officeDocument/2006/relationships" name="08 Surfaces &amp; Access" sheetId="9" state="visible" r:id="rId9"/>
    <sheet xmlns:r="http://schemas.openxmlformats.org/officeDocument/2006/relationships" name="09 Source Catalog &amp; Weights" sheetId="10" state="visible" r:id="rId10"/>
    <sheet xmlns:r="http://schemas.openxmlformats.org/officeDocument/2006/relationships" name="10 Local Bench Results" sheetId="11" state="visible" r:id="rId11"/>
  </sheets>
  <definedNames>
    <definedName name="_xlnm._FilterDatabase" localSheetId="10" hidden="1">'10 Local Bench Results'!$A$1:$M$125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  <font>
      <name val="Arial"/>
      <b val="1"/>
      <sz val="14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2E4374"/>
      </patternFill>
    </fill>
    <fill>
      <patternFill patternType="solid">
        <fgColor rgb="001F2A4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5" fillId="2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5" fillId="5" borderId="0" pivotButton="0" quotePrefix="0" xfId="0"/>
    <xf numFmtId="0" fontId="5" fillId="6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1" fillId="2" borderId="0" applyAlignment="1" pivotButton="0" quotePrefix="0" xfId="0">
      <alignment horizontal="center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AI MODEL QUALITY ROSTER - Stat-Sheet &amp; Routing System</t>
        </is>
      </c>
    </row>
    <row r="2">
      <c r="A2" s="2" t="inlineStr">
        <is>
          <t>Generated</t>
        </is>
      </c>
      <c r="B2" s="3" t="inlineStr">
        <is>
          <t>2026-06-07  |  Machine: Dell Inspiron 7706 (DESKTOP-LOOCRQ2)  |  Author: Matt Couch / Solon Consulting LLC  |  CURRENCY SWEEP 2026-06-07</t>
        </is>
      </c>
    </row>
    <row r="3">
      <c r="A3" s="4" t="inlineStr">
        <is>
          <t>Purpose</t>
        </is>
      </c>
      <c r="B3" s="3" t="inlineStr">
        <is>
          <t>Per-model capability rating system (video-game character-sheet style) so the AI Orchestrator (AI_ORCHESTRATOR_SPEC_v4.0) routes each job/role to the best-fit model. Row grain = model x surface. Feeds the orchestrator capabilities table.</t>
        </is>
      </c>
    </row>
    <row r="5">
      <c r="A5" s="5" t="inlineStr">
        <is>
          <t>SCALE</t>
        </is>
      </c>
      <c r="B5" s="3" t="inlineStr"/>
    </row>
    <row r="6">
      <c r="A6" s="4" t="inlineStr">
        <is>
          <t>0 to 10 (one decimal)</t>
        </is>
      </c>
      <c r="B6" s="3" t="inlineStr">
        <is>
          <t>Every stat is 0-10. Decimals allowed where a benchmark backs them (breaks ties for routing). Whole numbers where evidence is weaker (no false precision). 10 = best observed in class; 5 = mid.</t>
        </is>
      </c>
    </row>
    <row r="7">
      <c r="A7" s="4" t="inlineStr">
        <is>
          <t>Group composite (star)</t>
        </is>
      </c>
      <c r="B7" s="3" t="inlineStr">
        <is>
          <t>Mean of the sub-stats in that group (Excel AVERAGE formula).</t>
        </is>
      </c>
    </row>
    <row r="8">
      <c r="A8" s="4" t="inlineStr">
        <is>
          <t>POWER LEVEL</t>
        </is>
      </c>
      <c r="B8" s="3" t="inlineStr">
        <is>
          <t>Weighted overall: Reasoning .19, Coding .17, Agentic .17, Reliability .16, Performance .12, Creative .10, Predictive .09. Multimodal is a separate axis (not in Power Level).</t>
        </is>
      </c>
    </row>
    <row r="10">
      <c r="A10" s="5" t="inlineStr">
        <is>
          <t>CONFIDENCE</t>
        </is>
      </c>
      <c r="B10" s="3" t="inlineStr"/>
    </row>
    <row r="11">
      <c r="A11" s="6" t="inlineStr">
        <is>
          <t>H (green)</t>
        </is>
      </c>
      <c r="B11" s="3" t="inlineStr">
        <is>
          <t>Benchmark-anchored from 3+ 2026 sources (AA Intelligence Index, SWE-bench Verified/Pro, GPQA Diamond, ARC-AGI-2, HLE, Aider Polyglot, tau-bench/BFCL, MMMU-Pro, MTEB, image arena).</t>
        </is>
      </c>
    </row>
    <row r="12">
      <c r="A12" s="7" t="inlineStr">
        <is>
          <t>M (amber)</t>
        </is>
      </c>
      <c r="B12" s="3" t="inlineStr">
        <is>
          <t>Partly anchored or strong secondary sources; some stats family-derived.</t>
        </is>
      </c>
    </row>
    <row r="13">
      <c r="A13" s="8" t="inlineStr">
        <is>
          <t>L (red)</t>
        </is>
      </c>
      <c r="B13" s="3" t="inlineStr">
        <is>
          <t>Family-inherited estimate (scaled from the flagship of the same family). Verify before HIGH-stakes routing. Refinement path: pull the model's own benchmark card.</t>
        </is>
      </c>
    </row>
    <row r="15">
      <c r="A15" s="5" t="inlineStr">
        <is>
          <t>NORMALIZATION</t>
        </is>
      </c>
      <c r="B15" s="3" t="inlineStr"/>
    </row>
    <row r="16">
      <c r="A16" s="4" t="inlineStr">
        <is>
          <t>Benchmark to 0-10</t>
        </is>
      </c>
      <c r="B16" s="3" t="inlineStr">
        <is>
          <t>A benchmark percent s maps to round(s/10, 1), capped 0-10. Example: SWE-bench Verified 88.6 -&gt; Agentic SWE 8.9. Cost-Efficiency favors local_free and low price; raw price is in the economic columns.</t>
        </is>
      </c>
    </row>
    <row r="18">
      <c r="A18" s="5" t="inlineStr">
        <is>
          <t>THE 8 LLM STAT GROUPS</t>
        </is>
      </c>
      <c r="B18" s="3" t="inlineStr"/>
    </row>
    <row r="19">
      <c r="A19" s="4" t="inlineStr">
        <is>
          <t>Research &amp; Reasoning</t>
        </is>
      </c>
      <c r="B19" s="3" t="inlineStr">
        <is>
          <t>Reasoning, Math, Research/Synthesis, Knowledge/Recency</t>
        </is>
      </c>
    </row>
    <row r="20">
      <c r="A20" s="4" t="inlineStr">
        <is>
          <t>Coding &amp; Engineering</t>
        </is>
      </c>
      <c r="B20" s="3" t="inlineStr">
        <is>
          <t>Code Gen, Agentic SWE, Polyglot/Refactor, Debug/Comprehension</t>
        </is>
      </c>
    </row>
    <row r="21">
      <c r="A21" s="4" t="inlineStr">
        <is>
          <t>Agentic &amp; Tool Calling</t>
        </is>
      </c>
      <c r="B21" s="3" t="inlineStr">
        <is>
          <t>Tool Calling, Autonomy/Long-horizon, Computer/Browser Use, Instruction Adherence</t>
        </is>
      </c>
    </row>
    <row r="22">
      <c r="A22" s="4" t="inlineStr">
        <is>
          <t>Creative &amp; Language</t>
        </is>
      </c>
      <c r="B22" s="3" t="inlineStr">
        <is>
          <t>Creative Writing, Prose/Editing, Summarization, Multilingual</t>
        </is>
      </c>
    </row>
    <row r="23">
      <c r="A23" s="4" t="inlineStr">
        <is>
          <t>Predictive &amp; Analytical</t>
        </is>
      </c>
      <c r="B23" s="3" t="inlineStr">
        <is>
          <t>Data Analysis, Forecasting, Structured Extraction, Quant Reasoning</t>
        </is>
      </c>
    </row>
    <row r="24">
      <c r="A24" s="4" t="inlineStr">
        <is>
          <t>Multimodal</t>
        </is>
      </c>
      <c r="B24" s="3" t="inlineStr">
        <is>
          <t>Vision, Doc/Chart/OCR, Audio</t>
        </is>
      </c>
    </row>
    <row r="25">
      <c r="A25" s="4" t="inlineStr">
        <is>
          <t>Performance &amp; Economy</t>
        </is>
      </c>
      <c r="B25" s="3" t="inlineStr">
        <is>
          <t>Speed (tok/s), Latency, Context Capacity, Cost-Efficiency</t>
        </is>
      </c>
    </row>
    <row r="26">
      <c r="A26" s="4" t="inlineStr">
        <is>
          <t>Reliability &amp; Safety</t>
        </is>
      </c>
      <c r="B26" s="3" t="inlineStr">
        <is>
          <t>Factuality, Consistency, Safety/Refusal, Robustness</t>
        </is>
      </c>
    </row>
    <row r="28">
      <c r="A28" s="5" t="inlineStr">
        <is>
          <t>ROUTING USE</t>
        </is>
      </c>
      <c r="B28" s="3" t="inlineStr"/>
    </row>
    <row r="29">
      <c r="A29" s="4" t="inlineStr">
        <is>
          <t>How the orchestrator uses this</t>
        </is>
      </c>
      <c r="B29" s="3" t="inlineStr">
        <is>
          <t>Match the job required capability to the top group stat, filter by consequence_max and Auth-on-Dell/Billing (prefer local_free &gt; subscription_included; metered surfaces are not configured on this PC), then rank by the group composite, then Performance for ties. rating_instruction/rating_quality (1-5) drop into the v4.0 capabilities table.</t>
        </is>
      </c>
    </row>
    <row r="31">
      <c r="A31" s="9" t="inlineStr">
        <is>
          <t>DATA FRESHNESS / KNOWN DRIFT</t>
        </is>
      </c>
      <c r="B31" s="3" t="inlineStr"/>
    </row>
    <row r="32">
      <c r="A32" s="4" t="inlineStr">
        <is>
          <t>Source-list vs canonical</t>
        </is>
      </c>
      <c r="B32" s="3" t="inlineStr">
        <is>
          <t>The uploaded AI_COMPLETE_MODEL_LIST calls gpt-5.4 the flagship; the canonical roster and 2026 web sources show gpt-5.5/5.5-pro shipped 2026-04-24, used here. The uploaded list also still contains retired Grok 3 models (roster: retired 2026-05-15). Re-verify monthly.</t>
        </is>
      </c>
    </row>
    <row r="34">
      <c r="A34" s="5" t="inlineStr">
        <is>
          <t>SHEETS</t>
        </is>
      </c>
      <c r="B34" s="3" t="inlineStr"/>
    </row>
    <row r="35">
      <c r="A35" s="4" t="inlineStr">
        <is>
          <t>01 LLMs</t>
        </is>
      </c>
      <c r="B35" s="3" t="inlineStr">
        <is>
          <t>Text/reasoning/coding/agentic (incl. multimodal chat). Full 8-group stat sheet.</t>
        </is>
      </c>
    </row>
    <row r="36">
      <c r="A36" s="4" t="inlineStr">
        <is>
          <t>02-07</t>
        </is>
      </c>
      <c r="B36" s="3" t="inlineStr">
        <is>
          <t>Embeddings/Rerank, Image, Video, Audio/Speech, Vision-OCR-Document, Moderation - type-specific 0-10 stats.</t>
        </is>
      </c>
    </row>
    <row r="37">
      <c r="A37" s="4" t="inlineStr">
        <is>
          <t>08 Surfaces &amp; Access</t>
        </is>
      </c>
      <c r="B37" s="3" t="inlineStr">
        <is>
          <t>The routing services (adapters) with on-Dell auth/billing status from the 2026-06-06 runtime scan.</t>
        </is>
      </c>
    </row>
    <row r="38">
      <c r="A38" s="4" t="inlineStr">
        <is>
          <t>09 Source Catalog &amp; Weights</t>
        </is>
      </c>
      <c r="B38" s="3" t="inlineStr">
        <is>
          <t>Every source with what it GOVERNS and a trust weight (1-5). Provider specs (5) govern model attributes/IDs/status; benchmarks (3-4) set only relative routing scores, not attributes; runtime scan (5, may drift) governs on-Dell access. Rumored names excluded until provider-documented.</t>
        </is>
      </c>
    </row>
    <row r="40">
      <c r="A40" s="4" t="inlineStr">
        <is>
          <t>10 Local Bench Results</t>
        </is>
      </c>
      <c r="B40" s="3" t="inlineStr">
        <is>
          <t>Local Ollama smoke and operation-fixture results. These are measured routing facts, not provider quality claims.</t>
        </is>
      </c>
    </row>
    <row r="42">
      <c r="A42" s="10" t="inlineStr">
        <is>
          <t>COVERAGE / REFINEMENT PATH</t>
        </is>
      </c>
      <c r="B42" s="3" t="inlineStr"/>
    </row>
    <row r="43">
      <c r="A43" s="4" t="inlineStr">
        <is>
          <t>Currency (2026-06-07 sweep, rev.3)</t>
        </is>
      </c>
      <c r="B43" s="3" t="inlineStr">
        <is>
          <t>Provider-by-provider sweep 2026-06-07. ADDED released-but-missed: Gemma 4 12B IT QAT local Ollama row, Microsoft MAI family (Thinking-1, Code-1-Flash, Image-2.5/+Flash, Transcribe-1.5, Voice-2; 2026-06-02), and MiniMax M3 (Jun). POLICY: only PROVIDER-DOCUMENTED models become rows. PREVIEW rows are provider-documented, not GA, billing=unavailable, and never default-routed. Rumored or unreleased next-gen names are NOT rows until provider docs confirm them - tracked only via Source Catalog (sheet 09) Tier-4 watchlist.</t>
        </is>
      </c>
    </row>
    <row r="44">
      <c r="A44" s="4" t="inlineStr">
        <is>
          <t>Deferred / refinement path</t>
        </is>
      </c>
      <c r="B44" s="3" t="inlineStr">
        <is>
          <t>Niche current models not yet rated (low routing value here, no on-Dell access): Mercury 2 (Inception, fastest ~790 tok/s), IBM Granite 4.0, StepFun Step 3.7 Flash, OpenBMB MiniCPM5, DeepSeek V3.2. Plus deprecated OpenAI base models, ~30 legacy Mistral snapshots, retired Grok 3. Re-run the generator monthly (or schedule it) to keep current.</t>
        </is>
      </c>
    </row>
    <row r="46">
      <c r="A46" s="5" t="inlineStr">
        <is>
          <t>SOURCES</t>
        </is>
      </c>
      <c r="B46" s="3" t="inlineStr"/>
    </row>
    <row r="47">
      <c r="A47" s="4" t="inlineStr">
        <is>
          <t>Benchmarks</t>
        </is>
      </c>
      <c r="B47" s="3" t="inlineStr">
        <is>
          <t>artificialanalysis.ai (Intelligence Index, GPQA, speed/price); swebench.com; llm-stats.com; epoch.ai (Aider Polyglot); awesomeagents.ai (BFCL/tau-bench, MTEB); benchlm.ai (MMMU-Pro); Image Arena (ArtificialAnalysis). Accessed 2026-06-06/07.</t>
        </is>
      </c>
    </row>
    <row r="48">
      <c r="A48" s="4" t="inlineStr">
        <is>
          <t>On-Dell access</t>
        </is>
      </c>
      <c r="B48" s="3" t="inlineStr">
        <is>
          <t>AI_PROVIDER_MODEL_ROSTER_2026-06-06.md + AI_COMPLETE_MODEL_LIST_2026-06-06.md (runtime-verified).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24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4" customWidth="1" min="2" max="2"/>
    <col width="11" customWidth="1" min="13" max="13"/>
    <col width="11" customWidth="1" min="14" max="14"/>
    <col width="11" customWidth="1" min="15" max="15"/>
    <col width="11" customWidth="1" min="16" max="16"/>
    <col width="12" customWidth="1" min="17" max="17"/>
    <col width="11" customWidth="1" min="18" max="18"/>
    <col width="11" customWidth="1" min="19" max="19"/>
    <col width="11" customWidth="1" min="20" max="20"/>
    <col width="11" customWidth="1" min="21" max="21"/>
    <col width="12" customWidth="1" min="22" max="22"/>
    <col width="11" customWidth="1" min="23" max="23"/>
    <col width="11" customWidth="1" min="24" max="24"/>
    <col width="11" customWidth="1" min="25" max="25"/>
    <col width="11" customWidth="1" min="26" max="26"/>
    <col width="12" customWidth="1" min="27" max="27"/>
    <col width="11" customWidth="1" min="28" max="28"/>
    <col width="11" customWidth="1" min="29" max="29"/>
    <col width="11" customWidth="1" min="30" max="30"/>
    <col width="11" customWidth="1" min="31" max="31"/>
    <col width="12" customWidth="1" min="32" max="32"/>
    <col width="11" customWidth="1" min="33" max="33"/>
    <col width="11" customWidth="1" min="34" max="34"/>
    <col width="11" customWidth="1" min="35" max="35"/>
    <col width="11" customWidth="1" min="36" max="36"/>
    <col width="12" customWidth="1" min="37" max="37"/>
    <col width="11" customWidth="1" min="38" max="38"/>
    <col width="11" customWidth="1" min="39" max="39"/>
    <col width="11" customWidth="1" min="40" max="40"/>
    <col width="12" customWidth="1" min="41" max="41"/>
    <col width="11" customWidth="1" min="42" max="42"/>
    <col width="11" customWidth="1" min="43" max="43"/>
    <col width="11" customWidth="1" min="44" max="44"/>
    <col width="11" customWidth="1" min="45" max="45"/>
    <col width="12" customWidth="1" min="46" max="46"/>
    <col width="11" customWidth="1" min="47" max="47"/>
    <col width="11" customWidth="1" min="48" max="48"/>
    <col width="11" customWidth="1" min="49" max="49"/>
    <col width="11" customWidth="1" min="50" max="50"/>
    <col width="12" customWidth="1" min="51" max="51"/>
    <col width="12" customWidth="1" min="52" max="52"/>
    <col width="42" customWidth="1" min="60" max="60"/>
    <col width="42" customWidth="1" min="61" max="61"/>
    <col width="42" customWidth="1" min="63" max="63"/>
  </cols>
  <sheetData>
    <row r="1" ht="20" customHeight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s="11" t="inlineStr">
        <is>
          <t>Research &amp; Reasoning</t>
        </is>
      </c>
      <c r="R1" s="11" t="inlineStr">
        <is>
          <t>Coding &amp; Engineering</t>
        </is>
      </c>
      <c r="W1" s="11" t="inlineStr">
        <is>
          <t>Agentic &amp; Tool Calling</t>
        </is>
      </c>
      <c r="AB1" s="11" t="inlineStr">
        <is>
          <t>Creative &amp; Language</t>
        </is>
      </c>
      <c r="AG1" s="11" t="inlineStr">
        <is>
          <t>Predictive &amp; Analytical</t>
        </is>
      </c>
      <c r="AL1" s="11" t="inlineStr">
        <is>
          <t>Multimodal</t>
        </is>
      </c>
      <c r="AP1" s="11" t="inlineStr">
        <is>
          <t>Performance &amp; Economy</t>
        </is>
      </c>
      <c r="AU1" s="11" t="inlineStr">
        <is>
          <t>Reliability &amp; Safety</t>
        </is>
      </c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</row>
    <row r="2" ht="44" customHeight="1">
      <c r="A2" s="12" t="inlineStr">
        <is>
          <t>Model ID</t>
        </is>
      </c>
      <c r="B2" s="12" t="inlineStr">
        <is>
          <t>Model Name</t>
        </is>
      </c>
      <c r="C2" s="12" t="inlineStr">
        <is>
          <t>Provider</t>
        </is>
      </c>
      <c r="D2" s="12" t="inlineStr">
        <is>
          <t>Family/Gen</t>
        </is>
      </c>
      <c r="E2" s="12" t="inlineStr">
        <is>
          <t>Version</t>
        </is>
      </c>
      <c r="F2" s="12" t="inlineStr">
        <is>
          <t>Status</t>
        </is>
      </c>
      <c r="G2" s="12" t="inlineStr">
        <is>
          <t>Archetype</t>
        </is>
      </c>
      <c r="H2" s="12" t="inlineStr">
        <is>
          <t>Routing Surface</t>
        </is>
      </c>
      <c r="I2" s="12" t="inlineStr">
        <is>
          <t>Surface Type</t>
        </is>
      </c>
      <c r="J2" s="12" t="inlineStr">
        <is>
          <t>Auth on Dell</t>
        </is>
      </c>
      <c r="K2" s="12" t="inlineStr">
        <is>
          <t>Billing Class</t>
        </is>
      </c>
      <c r="L2" s="12" t="inlineStr">
        <is>
          <t>Runs Local on Dell</t>
        </is>
      </c>
      <c r="M2" s="12" t="inlineStr">
        <is>
          <t>Reasoning</t>
        </is>
      </c>
      <c r="N2" s="12" t="inlineStr">
        <is>
          <t>Math</t>
        </is>
      </c>
      <c r="O2" s="12" t="inlineStr">
        <is>
          <t>Research/Synthesis</t>
        </is>
      </c>
      <c r="P2" s="12" t="inlineStr">
        <is>
          <t>Knowledge/Recency</t>
        </is>
      </c>
      <c r="Q2" s="12" t="inlineStr">
        <is>
          <t>Research &amp; Reasoning ★</t>
        </is>
      </c>
      <c r="R2" s="12" t="inlineStr">
        <is>
          <t>Code Gen</t>
        </is>
      </c>
      <c r="S2" s="12" t="inlineStr">
        <is>
          <t>Agentic SWE</t>
        </is>
      </c>
      <c r="T2" s="12" t="inlineStr">
        <is>
          <t>Polyglot/Refactor</t>
        </is>
      </c>
      <c r="U2" s="12" t="inlineStr">
        <is>
          <t>Debug/Comprehension</t>
        </is>
      </c>
      <c r="V2" s="12" t="inlineStr">
        <is>
          <t>Coding &amp; Engineering ★</t>
        </is>
      </c>
      <c r="W2" s="12" t="inlineStr">
        <is>
          <t>Tool Calling</t>
        </is>
      </c>
      <c r="X2" s="12" t="inlineStr">
        <is>
          <t>Autonomy/Long-horizon</t>
        </is>
      </c>
      <c r="Y2" s="12" t="inlineStr">
        <is>
          <t>Computer/Browser Use</t>
        </is>
      </c>
      <c r="Z2" s="12" t="inlineStr">
        <is>
          <t>Instruction Adherence</t>
        </is>
      </c>
      <c r="AA2" s="12" t="inlineStr">
        <is>
          <t>Agentic &amp; Tool Calling ★</t>
        </is>
      </c>
      <c r="AB2" s="12" t="inlineStr">
        <is>
          <t>Creative Writing</t>
        </is>
      </c>
      <c r="AC2" s="12" t="inlineStr">
        <is>
          <t>Prose/Editing</t>
        </is>
      </c>
      <c r="AD2" s="12" t="inlineStr">
        <is>
          <t>Summarization</t>
        </is>
      </c>
      <c r="AE2" s="12" t="inlineStr">
        <is>
          <t>Multilingual</t>
        </is>
      </c>
      <c r="AF2" s="12" t="inlineStr">
        <is>
          <t>Creative &amp; Language ★</t>
        </is>
      </c>
      <c r="AG2" s="12" t="inlineStr">
        <is>
          <t>Data Analysis</t>
        </is>
      </c>
      <c r="AH2" s="12" t="inlineStr">
        <is>
          <t>Forecasting</t>
        </is>
      </c>
      <c r="AI2" s="12" t="inlineStr">
        <is>
          <t>Structured Extraction</t>
        </is>
      </c>
      <c r="AJ2" s="12" t="inlineStr">
        <is>
          <t>Quant Reasoning</t>
        </is>
      </c>
      <c r="AK2" s="12" t="inlineStr">
        <is>
          <t>Predictive &amp; Analytical ★</t>
        </is>
      </c>
      <c r="AL2" s="12" t="inlineStr">
        <is>
          <t>Vision</t>
        </is>
      </c>
      <c r="AM2" s="12" t="inlineStr">
        <is>
          <t>Doc/Chart/OCR</t>
        </is>
      </c>
      <c r="AN2" s="12" t="inlineStr">
        <is>
          <t>Audio</t>
        </is>
      </c>
      <c r="AO2" s="12" t="inlineStr">
        <is>
          <t>Multimodal ★</t>
        </is>
      </c>
      <c r="AP2" s="12" t="inlineStr">
        <is>
          <t>Speed (tok/s)</t>
        </is>
      </c>
      <c r="AQ2" s="12" t="inlineStr">
        <is>
          <t>Latency</t>
        </is>
      </c>
      <c r="AR2" s="12" t="inlineStr">
        <is>
          <t>Context Capacity</t>
        </is>
      </c>
      <c r="AS2" s="12" t="inlineStr">
        <is>
          <t>Cost-Efficiency</t>
        </is>
      </c>
      <c r="AT2" s="12" t="inlineStr">
        <is>
          <t>Performance &amp; Economy ★</t>
        </is>
      </c>
      <c r="AU2" s="12" t="inlineStr">
        <is>
          <t>Factuality</t>
        </is>
      </c>
      <c r="AV2" s="12" t="inlineStr">
        <is>
          <t>Consistency</t>
        </is>
      </c>
      <c r="AW2" s="12" t="inlineStr">
        <is>
          <t>Safety/Refusal</t>
        </is>
      </c>
      <c r="AX2" s="12" t="inlineStr">
        <is>
          <t>Robustness</t>
        </is>
      </c>
      <c r="AY2" s="12" t="inlineStr">
        <is>
          <t>Reliability &amp; Safety ★</t>
        </is>
      </c>
      <c r="AZ2" s="12" t="inlineStr">
        <is>
          <t>POWER LEVEL</t>
        </is>
      </c>
      <c r="BA2" s="12" t="inlineStr">
        <is>
          <t>Context Window</t>
        </is>
      </c>
      <c r="BB2" s="12" t="inlineStr">
        <is>
          <t>Max Output</t>
        </is>
      </c>
      <c r="BC2" s="12" t="inlineStr">
        <is>
          <t>$/MTok In</t>
        </is>
      </c>
      <c r="BD2" s="12" t="inlineStr">
        <is>
          <t>$/MTok Out</t>
        </is>
      </c>
      <c r="BE2" s="12" t="inlineStr">
        <is>
          <t>consequence_max</t>
        </is>
      </c>
      <c r="BF2" s="12" t="inlineStr">
        <is>
          <t>rating_instruction</t>
        </is>
      </c>
      <c r="BG2" s="12" t="inlineStr">
        <is>
          <t>rating_quality</t>
        </is>
      </c>
      <c r="BH2" s="12" t="inlineStr">
        <is>
          <t>Recommended Roles</t>
        </is>
      </c>
      <c r="BI2" s="12" t="inlineStr">
        <is>
          <t>Avoid For</t>
        </is>
      </c>
      <c r="BJ2" s="12" t="inlineStr">
        <is>
          <t>Confidence</t>
        </is>
      </c>
      <c r="BK2" s="12" t="inlineStr">
        <is>
          <t>Sources</t>
        </is>
      </c>
      <c r="BL2" s="12" t="inlineStr">
        <is>
          <t>Last Verified</t>
        </is>
      </c>
    </row>
    <row r="3">
      <c r="A3" s="13" t="inlineStr">
        <is>
          <t>claude-opus-4-8</t>
        </is>
      </c>
      <c r="B3" s="13" t="inlineStr">
        <is>
          <t>Claude Opus 4.8</t>
        </is>
      </c>
      <c r="C3" s="13" t="inlineStr">
        <is>
          <t>Anthropic</t>
        </is>
      </c>
      <c r="D3" s="13" t="inlineStr">
        <is>
          <t>Claude 4.x Opus</t>
        </is>
      </c>
      <c r="E3" s="13" t="inlineStr">
        <is>
          <t>4.8</t>
        </is>
      </c>
      <c r="F3" s="13" t="inlineStr">
        <is>
          <t>Current</t>
        </is>
      </c>
      <c r="G3" s="13" t="inlineStr">
        <is>
          <t>Flagship Reasoner</t>
        </is>
      </c>
      <c r="H3" s="13" t="inlineStr">
        <is>
          <t>Anthropic API</t>
        </is>
      </c>
      <c r="I3" s="13" t="inlineStr">
        <is>
          <t>HTTP API</t>
        </is>
      </c>
      <c r="J3" s="13" t="inlineStr">
        <is>
          <t>Working (Claude plan)</t>
        </is>
      </c>
      <c r="K3" s="13" t="inlineStr">
        <is>
          <t>subscription_included</t>
        </is>
      </c>
      <c r="L3" s="13" t="inlineStr">
        <is>
          <t>No</t>
        </is>
      </c>
      <c r="M3" s="13" t="n">
        <v>9.300000000000001</v>
      </c>
      <c r="N3" s="13" t="n">
        <v>9</v>
      </c>
      <c r="O3" s="13" t="n">
        <v>9.4</v>
      </c>
      <c r="P3" s="13" t="n">
        <v>8.800000000000001</v>
      </c>
      <c r="Q3" s="13">
        <f>IFERROR(ROUND(AVERAGE(M3:P3),1),"")</f>
        <v/>
      </c>
      <c r="R3" s="13" t="n">
        <v>9.199999999999999</v>
      </c>
      <c r="S3" s="13" t="n">
        <v>8.9</v>
      </c>
      <c r="T3" s="13" t="n">
        <v>9</v>
      </c>
      <c r="U3" s="13" t="n">
        <v>9.1</v>
      </c>
      <c r="V3" s="13">
        <f>IFERROR(ROUND(AVERAGE(R3:U3),1),"")</f>
        <v/>
      </c>
      <c r="W3" s="13" t="n">
        <v>9.300000000000001</v>
      </c>
      <c r="X3" s="13" t="n">
        <v>9.4</v>
      </c>
      <c r="Y3" s="13" t="n">
        <v>8.6</v>
      </c>
      <c r="Z3" s="13" t="n">
        <v>9.1</v>
      </c>
      <c r="AA3" s="13">
        <f>IFERROR(ROUND(AVERAGE(W3:Z3),1),"")</f>
        <v/>
      </c>
      <c r="AB3" s="13" t="n">
        <v>9.1</v>
      </c>
      <c r="AC3" s="13" t="n">
        <v>9.300000000000001</v>
      </c>
      <c r="AD3" s="13" t="n">
        <v>9.1</v>
      </c>
      <c r="AE3" s="13" t="n">
        <v>8.6</v>
      </c>
      <c r="AF3" s="13">
        <f>IFERROR(ROUND(AVERAGE(AB3:AE3),1),"")</f>
        <v/>
      </c>
      <c r="AG3" s="13" t="n">
        <v>8.6</v>
      </c>
      <c r="AH3" s="13" t="n">
        <v>7.6</v>
      </c>
      <c r="AI3" s="13" t="n">
        <v>8.9</v>
      </c>
      <c r="AJ3" s="13" t="n">
        <v>8.800000000000001</v>
      </c>
      <c r="AK3" s="13">
        <f>IFERROR(ROUND(AVERAGE(AG3:AJ3),1),"")</f>
        <v/>
      </c>
      <c r="AL3" s="13" t="n">
        <v>8.6</v>
      </c>
      <c r="AM3" s="13" t="n">
        <v>8.6</v>
      </c>
      <c r="AN3" s="13" t="inlineStr"/>
      <c r="AO3" s="13">
        <f>IFERROR(ROUND(AVERAGE(AL3:AN3),1),"")</f>
        <v/>
      </c>
      <c r="AP3" s="13" t="n">
        <v>5.6</v>
      </c>
      <c r="AQ3" s="13" t="n">
        <v>5.6</v>
      </c>
      <c r="AR3" s="13" t="n">
        <v>10</v>
      </c>
      <c r="AS3" s="13" t="n">
        <v>4.6</v>
      </c>
      <c r="AT3" s="13">
        <f>IFERROR(ROUND(AVERAGE(AP3:AS3),1),"")</f>
        <v/>
      </c>
      <c r="AU3" s="13" t="n">
        <v>8.699999999999999</v>
      </c>
      <c r="AV3" s="13" t="n">
        <v>8.800000000000001</v>
      </c>
      <c r="AW3" s="13" t="n">
        <v>9.199999999999999</v>
      </c>
      <c r="AX3" s="13" t="n">
        <v>8.6</v>
      </c>
      <c r="AY3" s="13">
        <f>IFERROR(ROUND(AVERAGE(AU3:AX3),1),"")</f>
        <v/>
      </c>
      <c r="AZ3" s="13">
        <f>ROUND(0.19*N(Q3)+0.17*N(V3)+0.17*N(AA3)+0.1*N(AF3)+0.09*N(AK3)+0.12*N(AT3)+0.16*N(AY3),1)</f>
        <v/>
      </c>
      <c r="BA3" s="13" t="inlineStr">
        <is>
          <t>1M</t>
        </is>
      </c>
      <c r="BB3" s="13" t="n">
        <v>64000</v>
      </c>
      <c r="BC3" s="13" t="n">
        <v>5</v>
      </c>
      <c r="BD3" s="13" t="n">
        <v>25</v>
      </c>
      <c r="BE3" s="13" t="inlineStr">
        <is>
          <t>critical</t>
        </is>
      </c>
      <c r="BF3" s="13" t="n">
        <v>5</v>
      </c>
      <c r="BG3" s="13" t="n">
        <v>5</v>
      </c>
      <c r="BH3" s="13" t="inlineStr">
        <is>
          <t>Hardest reasoning, cross-file refactor, long-form analysis, RFP/proposal authoring</t>
        </is>
      </c>
      <c r="BI3" s="13" t="inlineStr">
        <is>
          <t>High-volume cheap classification; ultra-low-latency chat</t>
        </is>
      </c>
      <c r="BJ3" s="14" t="inlineStr">
        <is>
          <t>H</t>
        </is>
      </c>
      <c r="BK3" s="13" t="inlineStr">
        <is>
          <t>AA Index 61 (#1); SWE-bench Verified 88.6%; benchmark-anchored (AA Index, SWE-bench, GPQA, ARC-AGI-2, Aider, MMMU 2026-06)</t>
        </is>
      </c>
      <c r="BL3" s="13" t="inlineStr">
        <is>
          <t>2026-06-07</t>
        </is>
      </c>
    </row>
    <row r="4">
      <c r="A4" s="13" t="inlineStr">
        <is>
          <t>claude-opus-4-8</t>
        </is>
      </c>
      <c r="B4" s="13" t="inlineStr">
        <is>
          <t>Claude Opus 4.8</t>
        </is>
      </c>
      <c r="C4" s="13" t="inlineStr">
        <is>
          <t>Anthropic</t>
        </is>
      </c>
      <c r="D4" s="13" t="inlineStr">
        <is>
          <t>Claude 4.x Opus</t>
        </is>
      </c>
      <c r="E4" s="13" t="inlineStr">
        <is>
          <t>4.8</t>
        </is>
      </c>
      <c r="F4" s="13" t="inlineStr">
        <is>
          <t>Current</t>
        </is>
      </c>
      <c r="G4" s="13" t="inlineStr">
        <is>
          <t>Flagship Reasoner</t>
        </is>
      </c>
      <c r="H4" s="13" t="inlineStr">
        <is>
          <t>Claude Code CLI</t>
        </is>
      </c>
      <c r="I4" s="13" t="inlineStr">
        <is>
          <t>CLI</t>
        </is>
      </c>
      <c r="J4" s="13" t="inlineStr">
        <is>
          <t>Working</t>
        </is>
      </c>
      <c r="K4" s="13" t="inlineStr">
        <is>
          <t>subscription_included</t>
        </is>
      </c>
      <c r="L4" s="13" t="inlineStr">
        <is>
          <t>No</t>
        </is>
      </c>
      <c r="M4" s="13" t="n">
        <v>9.300000000000001</v>
      </c>
      <c r="N4" s="13" t="n">
        <v>9</v>
      </c>
      <c r="O4" s="13" t="n">
        <v>9.4</v>
      </c>
      <c r="P4" s="13" t="n">
        <v>8.800000000000001</v>
      </c>
      <c r="Q4" s="13">
        <f>IFERROR(ROUND(AVERAGE(M4:P4),1),"")</f>
        <v/>
      </c>
      <c r="R4" s="13" t="n">
        <v>9.199999999999999</v>
      </c>
      <c r="S4" s="13" t="n">
        <v>8.9</v>
      </c>
      <c r="T4" s="13" t="n">
        <v>9</v>
      </c>
      <c r="U4" s="13" t="n">
        <v>9.1</v>
      </c>
      <c r="V4" s="13">
        <f>IFERROR(ROUND(AVERAGE(R4:U4),1),"")</f>
        <v/>
      </c>
      <c r="W4" s="13" t="n">
        <v>9.300000000000001</v>
      </c>
      <c r="X4" s="13" t="n">
        <v>9.4</v>
      </c>
      <c r="Y4" s="13" t="n">
        <v>8.6</v>
      </c>
      <c r="Z4" s="13" t="n">
        <v>9.1</v>
      </c>
      <c r="AA4" s="13">
        <f>IFERROR(ROUND(AVERAGE(W4:Z4),1),"")</f>
        <v/>
      </c>
      <c r="AB4" s="13" t="n">
        <v>9.1</v>
      </c>
      <c r="AC4" s="13" t="n">
        <v>9.300000000000001</v>
      </c>
      <c r="AD4" s="13" t="n">
        <v>9.1</v>
      </c>
      <c r="AE4" s="13" t="n">
        <v>8.6</v>
      </c>
      <c r="AF4" s="13">
        <f>IFERROR(ROUND(AVERAGE(AB4:AE4),1),"")</f>
        <v/>
      </c>
      <c r="AG4" s="13" t="n">
        <v>8.6</v>
      </c>
      <c r="AH4" s="13" t="n">
        <v>7.6</v>
      </c>
      <c r="AI4" s="13" t="n">
        <v>8.9</v>
      </c>
      <c r="AJ4" s="13" t="n">
        <v>8.800000000000001</v>
      </c>
      <c r="AK4" s="13">
        <f>IFERROR(ROUND(AVERAGE(AG4:AJ4),1),"")</f>
        <v/>
      </c>
      <c r="AL4" s="13" t="n">
        <v>8.6</v>
      </c>
      <c r="AM4" s="13" t="n">
        <v>8.6</v>
      </c>
      <c r="AN4" s="13" t="inlineStr"/>
      <c r="AO4" s="13">
        <f>IFERROR(ROUND(AVERAGE(AL4:AN4),1),"")</f>
        <v/>
      </c>
      <c r="AP4" s="13" t="n">
        <v>5.6</v>
      </c>
      <c r="AQ4" s="13" t="n">
        <v>5.6</v>
      </c>
      <c r="AR4" s="13" t="n">
        <v>10</v>
      </c>
      <c r="AS4" s="13" t="n">
        <v>4.6</v>
      </c>
      <c r="AT4" s="13">
        <f>IFERROR(ROUND(AVERAGE(AP4:AS4),1),"")</f>
        <v/>
      </c>
      <c r="AU4" s="13" t="n">
        <v>8.699999999999999</v>
      </c>
      <c r="AV4" s="13" t="n">
        <v>8.800000000000001</v>
      </c>
      <c r="AW4" s="13" t="n">
        <v>9.199999999999999</v>
      </c>
      <c r="AX4" s="13" t="n">
        <v>8.6</v>
      </c>
      <c r="AY4" s="13">
        <f>IFERROR(ROUND(AVERAGE(AU4:AX4),1),"")</f>
        <v/>
      </c>
      <c r="AZ4" s="13">
        <f>ROUND(0.19*N(Q4)+0.17*N(V4)+0.17*N(AA4)+0.1*N(AF4)+0.09*N(AK4)+0.12*N(AT4)+0.16*N(AY4),1)</f>
        <v/>
      </c>
      <c r="BA4" s="13" t="inlineStr">
        <is>
          <t>1M</t>
        </is>
      </c>
      <c r="BB4" s="13" t="n">
        <v>64000</v>
      </c>
      <c r="BC4" s="13" t="n">
        <v>5</v>
      </c>
      <c r="BD4" s="13" t="n">
        <v>25</v>
      </c>
      <c r="BE4" s="13" t="inlineStr">
        <is>
          <t>critical</t>
        </is>
      </c>
      <c r="BF4" s="13" t="n">
        <v>5</v>
      </c>
      <c r="BG4" s="13" t="n">
        <v>5</v>
      </c>
      <c r="BH4" s="13" t="inlineStr">
        <is>
          <t>Hardest reasoning, cross-file refactor, long-form analysis, RFP/proposal authoring</t>
        </is>
      </c>
      <c r="BI4" s="13" t="inlineStr">
        <is>
          <t>High-volume cheap classification; ultra-low-latency chat</t>
        </is>
      </c>
      <c r="BJ4" s="14" t="inlineStr">
        <is>
          <t>H</t>
        </is>
      </c>
      <c r="BK4" s="13" t="inlineStr">
        <is>
          <t>AA Index 61 (#1); SWE-bench Verified 88.6%; benchmark-anchored (AA Index, SWE-bench, GPQA, ARC-AGI-2, Aider, MMMU 2026-06)</t>
        </is>
      </c>
      <c r="BL4" s="13" t="inlineStr">
        <is>
          <t>2026-06-07</t>
        </is>
      </c>
    </row>
    <row r="5">
      <c r="A5" s="13" t="inlineStr">
        <is>
          <t>claude-opus-4-8</t>
        </is>
      </c>
      <c r="B5" s="13" t="inlineStr">
        <is>
          <t>Claude Opus 4.8</t>
        </is>
      </c>
      <c r="C5" s="13" t="inlineStr">
        <is>
          <t>Anthropic</t>
        </is>
      </c>
      <c r="D5" s="13" t="inlineStr">
        <is>
          <t>Claude 4.x Opus</t>
        </is>
      </c>
      <c r="E5" s="13" t="inlineStr">
        <is>
          <t>4.8</t>
        </is>
      </c>
      <c r="F5" s="13" t="inlineStr">
        <is>
          <t>Current</t>
        </is>
      </c>
      <c r="G5" s="13" t="inlineStr">
        <is>
          <t>Flagship Reasoner</t>
        </is>
      </c>
      <c r="H5" s="13" t="inlineStr">
        <is>
          <t>Claude Desktop/Cowork</t>
        </is>
      </c>
      <c r="I5" s="13" t="inlineStr">
        <is>
          <t>Desktop app</t>
        </is>
      </c>
      <c r="J5" s="13" t="inlineStr">
        <is>
          <t>Working (this session)</t>
        </is>
      </c>
      <c r="K5" s="13" t="inlineStr">
        <is>
          <t>subscription_included</t>
        </is>
      </c>
      <c r="L5" s="13" t="inlineStr">
        <is>
          <t>No</t>
        </is>
      </c>
      <c r="M5" s="13" t="n">
        <v>9.300000000000001</v>
      </c>
      <c r="N5" s="13" t="n">
        <v>9</v>
      </c>
      <c r="O5" s="13" t="n">
        <v>9.4</v>
      </c>
      <c r="P5" s="13" t="n">
        <v>8.800000000000001</v>
      </c>
      <c r="Q5" s="13">
        <f>IFERROR(ROUND(AVERAGE(M5:P5),1),"")</f>
        <v/>
      </c>
      <c r="R5" s="13" t="n">
        <v>9.199999999999999</v>
      </c>
      <c r="S5" s="13" t="n">
        <v>8.9</v>
      </c>
      <c r="T5" s="13" t="n">
        <v>9</v>
      </c>
      <c r="U5" s="13" t="n">
        <v>9.1</v>
      </c>
      <c r="V5" s="13">
        <f>IFERROR(ROUND(AVERAGE(R5:U5),1),"")</f>
        <v/>
      </c>
      <c r="W5" s="13" t="n">
        <v>9.300000000000001</v>
      </c>
      <c r="X5" s="13" t="n">
        <v>9.4</v>
      </c>
      <c r="Y5" s="13" t="n">
        <v>8.6</v>
      </c>
      <c r="Z5" s="13" t="n">
        <v>9.1</v>
      </c>
      <c r="AA5" s="13">
        <f>IFERROR(ROUND(AVERAGE(W5:Z5),1),"")</f>
        <v/>
      </c>
      <c r="AB5" s="13" t="n">
        <v>9.1</v>
      </c>
      <c r="AC5" s="13" t="n">
        <v>9.300000000000001</v>
      </c>
      <c r="AD5" s="13" t="n">
        <v>9.1</v>
      </c>
      <c r="AE5" s="13" t="n">
        <v>8.6</v>
      </c>
      <c r="AF5" s="13">
        <f>IFERROR(ROUND(AVERAGE(AB5:AE5),1),"")</f>
        <v/>
      </c>
      <c r="AG5" s="13" t="n">
        <v>8.6</v>
      </c>
      <c r="AH5" s="13" t="n">
        <v>7.6</v>
      </c>
      <c r="AI5" s="13" t="n">
        <v>8.9</v>
      </c>
      <c r="AJ5" s="13" t="n">
        <v>8.800000000000001</v>
      </c>
      <c r="AK5" s="13">
        <f>IFERROR(ROUND(AVERAGE(AG5:AJ5),1),"")</f>
        <v/>
      </c>
      <c r="AL5" s="13" t="n">
        <v>8.6</v>
      </c>
      <c r="AM5" s="13" t="n">
        <v>8.6</v>
      </c>
      <c r="AN5" s="13" t="inlineStr"/>
      <c r="AO5" s="13">
        <f>IFERROR(ROUND(AVERAGE(AL5:AN5),1),"")</f>
        <v/>
      </c>
      <c r="AP5" s="13" t="n">
        <v>5.6</v>
      </c>
      <c r="AQ5" s="13" t="n">
        <v>5.6</v>
      </c>
      <c r="AR5" s="13" t="n">
        <v>10</v>
      </c>
      <c r="AS5" s="13" t="n">
        <v>4.6</v>
      </c>
      <c r="AT5" s="13">
        <f>IFERROR(ROUND(AVERAGE(AP5:AS5),1),"")</f>
        <v/>
      </c>
      <c r="AU5" s="13" t="n">
        <v>8.699999999999999</v>
      </c>
      <c r="AV5" s="13" t="n">
        <v>8.800000000000001</v>
      </c>
      <c r="AW5" s="13" t="n">
        <v>9.199999999999999</v>
      </c>
      <c r="AX5" s="13" t="n">
        <v>8.6</v>
      </c>
      <c r="AY5" s="13">
        <f>IFERROR(ROUND(AVERAGE(AU5:AX5),1),"")</f>
        <v/>
      </c>
      <c r="AZ5" s="13">
        <f>ROUND(0.19*N(Q5)+0.17*N(V5)+0.17*N(AA5)+0.1*N(AF5)+0.09*N(AK5)+0.12*N(AT5)+0.16*N(AY5),1)</f>
        <v/>
      </c>
      <c r="BA5" s="13" t="inlineStr">
        <is>
          <t>1M</t>
        </is>
      </c>
      <c r="BB5" s="13" t="n">
        <v>64000</v>
      </c>
      <c r="BC5" s="13" t="n">
        <v>5</v>
      </c>
      <c r="BD5" s="13" t="n">
        <v>25</v>
      </c>
      <c r="BE5" s="13" t="inlineStr">
        <is>
          <t>critical</t>
        </is>
      </c>
      <c r="BF5" s="13" t="n">
        <v>5</v>
      </c>
      <c r="BG5" s="13" t="n">
        <v>5</v>
      </c>
      <c r="BH5" s="13" t="inlineStr">
        <is>
          <t>Hardest reasoning, cross-file refactor, long-form analysis, RFP/proposal authoring</t>
        </is>
      </c>
      <c r="BI5" s="13" t="inlineStr">
        <is>
          <t>High-volume cheap classification; ultra-low-latency chat</t>
        </is>
      </c>
      <c r="BJ5" s="14" t="inlineStr">
        <is>
          <t>H</t>
        </is>
      </c>
      <c r="BK5" s="13" t="inlineStr">
        <is>
          <t>AA Index 61 (#1); SWE-bench Verified 88.6%; benchmark-anchored (AA Index, SWE-bench, GPQA, ARC-AGI-2, Aider, MMMU 2026-06)</t>
        </is>
      </c>
      <c r="BL5" s="13" t="inlineStr">
        <is>
          <t>2026-06-07</t>
        </is>
      </c>
    </row>
    <row r="6">
      <c r="A6" s="13" t="inlineStr">
        <is>
          <t>claude-opus-4-8</t>
        </is>
      </c>
      <c r="B6" s="13" t="inlineStr">
        <is>
          <t>Claude Opus 4.8</t>
        </is>
      </c>
      <c r="C6" s="13" t="inlineStr">
        <is>
          <t>Anthropic</t>
        </is>
      </c>
      <c r="D6" s="13" t="inlineStr">
        <is>
          <t>Claude 4.x Opus</t>
        </is>
      </c>
      <c r="E6" s="13" t="inlineStr">
        <is>
          <t>4.8</t>
        </is>
      </c>
      <c r="F6" s="13" t="inlineStr">
        <is>
          <t>Current</t>
        </is>
      </c>
      <c r="G6" s="13" t="inlineStr">
        <is>
          <t>Flagship Reasoner</t>
        </is>
      </c>
      <c r="H6" s="13" t="inlineStr">
        <is>
          <t>Amazon Bedrock (Kiro)</t>
        </is>
      </c>
      <c r="I6" s="13" t="inlineStr">
        <is>
          <t>Aggregator</t>
        </is>
      </c>
      <c r="J6" s="13" t="inlineStr">
        <is>
          <t>Installed; login unverified</t>
        </is>
      </c>
      <c r="K6" s="13" t="inlineStr">
        <is>
          <t>metered (not configured)</t>
        </is>
      </c>
      <c r="L6" s="13" t="inlineStr">
        <is>
          <t>No</t>
        </is>
      </c>
      <c r="M6" s="13" t="n">
        <v>9.300000000000001</v>
      </c>
      <c r="N6" s="13" t="n">
        <v>9</v>
      </c>
      <c r="O6" s="13" t="n">
        <v>9.4</v>
      </c>
      <c r="P6" s="13" t="n">
        <v>8.800000000000001</v>
      </c>
      <c r="Q6" s="13">
        <f>IFERROR(ROUND(AVERAGE(M6:P6),1),"")</f>
        <v/>
      </c>
      <c r="R6" s="13" t="n">
        <v>9.199999999999999</v>
      </c>
      <c r="S6" s="13" t="n">
        <v>8.9</v>
      </c>
      <c r="T6" s="13" t="n">
        <v>9</v>
      </c>
      <c r="U6" s="13" t="n">
        <v>9.1</v>
      </c>
      <c r="V6" s="13">
        <f>IFERROR(ROUND(AVERAGE(R6:U6),1),"")</f>
        <v/>
      </c>
      <c r="W6" s="13" t="n">
        <v>9.300000000000001</v>
      </c>
      <c r="X6" s="13" t="n">
        <v>9.4</v>
      </c>
      <c r="Y6" s="13" t="n">
        <v>8.6</v>
      </c>
      <c r="Z6" s="13" t="n">
        <v>9.1</v>
      </c>
      <c r="AA6" s="13">
        <f>IFERROR(ROUND(AVERAGE(W6:Z6),1),"")</f>
        <v/>
      </c>
      <c r="AB6" s="13" t="n">
        <v>9.1</v>
      </c>
      <c r="AC6" s="13" t="n">
        <v>9.300000000000001</v>
      </c>
      <c r="AD6" s="13" t="n">
        <v>9.1</v>
      </c>
      <c r="AE6" s="13" t="n">
        <v>8.6</v>
      </c>
      <c r="AF6" s="13">
        <f>IFERROR(ROUND(AVERAGE(AB6:AE6),1),"")</f>
        <v/>
      </c>
      <c r="AG6" s="13" t="n">
        <v>8.6</v>
      </c>
      <c r="AH6" s="13" t="n">
        <v>7.6</v>
      </c>
      <c r="AI6" s="13" t="n">
        <v>8.9</v>
      </c>
      <c r="AJ6" s="13" t="n">
        <v>8.800000000000001</v>
      </c>
      <c r="AK6" s="13">
        <f>IFERROR(ROUND(AVERAGE(AG6:AJ6),1),"")</f>
        <v/>
      </c>
      <c r="AL6" s="13" t="n">
        <v>8.6</v>
      </c>
      <c r="AM6" s="13" t="n">
        <v>8.6</v>
      </c>
      <c r="AN6" s="13" t="inlineStr"/>
      <c r="AO6" s="13">
        <f>IFERROR(ROUND(AVERAGE(AL6:AN6),1),"")</f>
        <v/>
      </c>
      <c r="AP6" s="13" t="n">
        <v>5.6</v>
      </c>
      <c r="AQ6" s="13" t="n">
        <v>5.6</v>
      </c>
      <c r="AR6" s="13" t="n">
        <v>10</v>
      </c>
      <c r="AS6" s="13" t="n">
        <v>4.6</v>
      </c>
      <c r="AT6" s="13">
        <f>IFERROR(ROUND(AVERAGE(AP6:AS6),1),"")</f>
        <v/>
      </c>
      <c r="AU6" s="13" t="n">
        <v>8.699999999999999</v>
      </c>
      <c r="AV6" s="13" t="n">
        <v>8.800000000000001</v>
      </c>
      <c r="AW6" s="13" t="n">
        <v>9.199999999999999</v>
      </c>
      <c r="AX6" s="13" t="n">
        <v>8.6</v>
      </c>
      <c r="AY6" s="13">
        <f>IFERROR(ROUND(AVERAGE(AU6:AX6),1),"")</f>
        <v/>
      </c>
      <c r="AZ6" s="13">
        <f>ROUND(0.19*N(Q6)+0.17*N(V6)+0.17*N(AA6)+0.1*N(AF6)+0.09*N(AK6)+0.12*N(AT6)+0.16*N(AY6),1)</f>
        <v/>
      </c>
      <c r="BA6" s="13" t="inlineStr">
        <is>
          <t>1M</t>
        </is>
      </c>
      <c r="BB6" s="13" t="n">
        <v>64000</v>
      </c>
      <c r="BC6" s="13" t="n">
        <v>5</v>
      </c>
      <c r="BD6" s="13" t="n">
        <v>25</v>
      </c>
      <c r="BE6" s="13" t="inlineStr">
        <is>
          <t>critical</t>
        </is>
      </c>
      <c r="BF6" s="13" t="n">
        <v>5</v>
      </c>
      <c r="BG6" s="13" t="n">
        <v>5</v>
      </c>
      <c r="BH6" s="13" t="inlineStr">
        <is>
          <t>Hardest reasoning, cross-file refactor, long-form analysis, RFP/proposal authoring</t>
        </is>
      </c>
      <c r="BI6" s="13" t="inlineStr">
        <is>
          <t>High-volume cheap classification; ultra-low-latency chat</t>
        </is>
      </c>
      <c r="BJ6" s="14" t="inlineStr">
        <is>
          <t>H</t>
        </is>
      </c>
      <c r="BK6" s="13" t="inlineStr">
        <is>
          <t>AA Index 61 (#1); SWE-bench Verified 88.6%; benchmark-anchored (AA Index, SWE-bench, GPQA, ARC-AGI-2, Aider, MMMU 2026-06)</t>
        </is>
      </c>
      <c r="BL6" s="13" t="inlineStr">
        <is>
          <t>2026-06-07</t>
        </is>
      </c>
    </row>
    <row r="7">
      <c r="A7" s="13" t="inlineStr">
        <is>
          <t>claude-opus-4-7</t>
        </is>
      </c>
      <c r="B7" s="13" t="inlineStr">
        <is>
          <t>Claude Opus 4.7</t>
        </is>
      </c>
      <c r="C7" s="13" t="inlineStr">
        <is>
          <t>Anthropic</t>
        </is>
      </c>
      <c r="D7" s="13" t="inlineStr">
        <is>
          <t>Claude 4.x Opus</t>
        </is>
      </c>
      <c r="E7" s="13" t="inlineStr">
        <is>
          <t>4.7</t>
        </is>
      </c>
      <c r="F7" s="13" t="inlineStr">
        <is>
          <t>Legacy (prior flagship)</t>
        </is>
      </c>
      <c r="G7" s="13" t="inlineStr">
        <is>
          <t>Flagship Reasoner</t>
        </is>
      </c>
      <c r="H7" s="13" t="inlineStr">
        <is>
          <t>Anthropic API</t>
        </is>
      </c>
      <c r="I7" s="13" t="inlineStr">
        <is>
          <t>HTTP API</t>
        </is>
      </c>
      <c r="J7" s="13" t="inlineStr">
        <is>
          <t>Working (Claude plan)</t>
        </is>
      </c>
      <c r="K7" s="13" t="inlineStr">
        <is>
          <t>subscription_included</t>
        </is>
      </c>
      <c r="L7" s="13" t="inlineStr">
        <is>
          <t>No</t>
        </is>
      </c>
      <c r="M7" s="13" t="n">
        <v>9.1</v>
      </c>
      <c r="N7" s="13" t="n">
        <v>8.800000000000001</v>
      </c>
      <c r="O7" s="13" t="n">
        <v>9.199999999999999</v>
      </c>
      <c r="P7" s="13" t="n">
        <v>8.699999999999999</v>
      </c>
      <c r="Q7" s="13">
        <f>IFERROR(ROUND(AVERAGE(M7:P7),1),"")</f>
        <v/>
      </c>
      <c r="R7" s="13" t="n">
        <v>9</v>
      </c>
      <c r="S7" s="13" t="n">
        <v>8.800000000000001</v>
      </c>
      <c r="T7" s="13" t="n">
        <v>8.9</v>
      </c>
      <c r="U7" s="13" t="n">
        <v>9</v>
      </c>
      <c r="V7" s="13">
        <f>IFERROR(ROUND(AVERAGE(R7:U7),1),"")</f>
        <v/>
      </c>
      <c r="W7" s="13" t="n">
        <v>9.1</v>
      </c>
      <c r="X7" s="13" t="n">
        <v>9.199999999999999</v>
      </c>
      <c r="Y7" s="13" t="n">
        <v>8.5</v>
      </c>
      <c r="Z7" s="13" t="n">
        <v>9</v>
      </c>
      <c r="AA7" s="13">
        <f>IFERROR(ROUND(AVERAGE(W7:Z7),1),"")</f>
        <v/>
      </c>
      <c r="AB7" s="13" t="n">
        <v>9</v>
      </c>
      <c r="AC7" s="13" t="n">
        <v>9.199999999999999</v>
      </c>
      <c r="AD7" s="13" t="n">
        <v>9</v>
      </c>
      <c r="AE7" s="13" t="n">
        <v>8.5</v>
      </c>
      <c r="AF7" s="13">
        <f>IFERROR(ROUND(AVERAGE(AB7:AE7),1),"")</f>
        <v/>
      </c>
      <c r="AG7" s="13" t="n">
        <v>8.5</v>
      </c>
      <c r="AH7" s="13" t="n">
        <v>7.5</v>
      </c>
      <c r="AI7" s="13" t="n">
        <v>8.800000000000001</v>
      </c>
      <c r="AJ7" s="13" t="n">
        <v>8.699999999999999</v>
      </c>
      <c r="AK7" s="13">
        <f>IFERROR(ROUND(AVERAGE(AG7:AJ7),1),"")</f>
        <v/>
      </c>
      <c r="AL7" s="13" t="n">
        <v>8.5</v>
      </c>
      <c r="AM7" s="13" t="n">
        <v>8.5</v>
      </c>
      <c r="AN7" s="13" t="inlineStr"/>
      <c r="AO7" s="13">
        <f>IFERROR(ROUND(AVERAGE(AL7:AN7),1),"")</f>
        <v/>
      </c>
      <c r="AP7" s="13" t="n">
        <v>5.6</v>
      </c>
      <c r="AQ7" s="13" t="n">
        <v>5.6</v>
      </c>
      <c r="AR7" s="13" t="n">
        <v>10</v>
      </c>
      <c r="AS7" s="13" t="n">
        <v>4.6</v>
      </c>
      <c r="AT7" s="13">
        <f>IFERROR(ROUND(AVERAGE(AP7:AS7),1),"")</f>
        <v/>
      </c>
      <c r="AU7" s="13" t="n">
        <v>8.6</v>
      </c>
      <c r="AV7" s="13" t="n">
        <v>8.699999999999999</v>
      </c>
      <c r="AW7" s="13" t="n">
        <v>9.1</v>
      </c>
      <c r="AX7" s="13" t="n">
        <v>8.5</v>
      </c>
      <c r="AY7" s="13">
        <f>IFERROR(ROUND(AVERAGE(AU7:AX7),1),"")</f>
        <v/>
      </c>
      <c r="AZ7" s="13">
        <f>ROUND(0.19*N(Q7)+0.17*N(V7)+0.17*N(AA7)+0.1*N(AF7)+0.09*N(AK7)+0.12*N(AT7)+0.16*N(AY7),1)</f>
        <v/>
      </c>
      <c r="BA7" s="13" t="inlineStr">
        <is>
          <t>1M</t>
        </is>
      </c>
      <c r="BB7" s="13" t="n">
        <v>64000</v>
      </c>
      <c r="BC7" s="13" t="n">
        <v>5</v>
      </c>
      <c r="BD7" s="13" t="n">
        <v>25</v>
      </c>
      <c r="BE7" s="13" t="inlineStr">
        <is>
          <t>critical</t>
        </is>
      </c>
      <c r="BF7" s="13" t="n">
        <v>5</v>
      </c>
      <c r="BG7" s="13" t="n">
        <v>5</v>
      </c>
      <c r="BH7" s="13" t="inlineStr">
        <is>
          <t>Same as 4.8 where 4.8 unavailable; SWE-bench Pro leader 64.3%</t>
        </is>
      </c>
      <c r="BI7" s="13" t="inlineStr"/>
      <c r="BJ7" s="14" t="inlineStr">
        <is>
          <t>H</t>
        </is>
      </c>
      <c r="BK7" s="13" t="inlineStr">
        <is>
          <t>AA Index 57; SWE-bench Verified 87.6%, Pro 64.3%; benchmark-anchored (AA Index, SWE-bench, GPQA, ARC-AGI-2, Aider, MMMU 2026-06)</t>
        </is>
      </c>
      <c r="BL7" s="13" t="inlineStr">
        <is>
          <t>2026-06-07</t>
        </is>
      </c>
    </row>
    <row r="8">
      <c r="A8" s="13" t="inlineStr">
        <is>
          <t>claude-opus-4-7</t>
        </is>
      </c>
      <c r="B8" s="13" t="inlineStr">
        <is>
          <t>Claude Opus 4.7</t>
        </is>
      </c>
      <c r="C8" s="13" t="inlineStr">
        <is>
          <t>Anthropic</t>
        </is>
      </c>
      <c r="D8" s="13" t="inlineStr">
        <is>
          <t>Claude 4.x Opus</t>
        </is>
      </c>
      <c r="E8" s="13" t="inlineStr">
        <is>
          <t>4.7</t>
        </is>
      </c>
      <c r="F8" s="13" t="inlineStr">
        <is>
          <t>Legacy (prior flagship)</t>
        </is>
      </c>
      <c r="G8" s="13" t="inlineStr">
        <is>
          <t>Flagship Reasoner</t>
        </is>
      </c>
      <c r="H8" s="13" t="inlineStr">
        <is>
          <t>Claude Code CLI</t>
        </is>
      </c>
      <c r="I8" s="13" t="inlineStr">
        <is>
          <t>CLI</t>
        </is>
      </c>
      <c r="J8" s="13" t="inlineStr">
        <is>
          <t>Working</t>
        </is>
      </c>
      <c r="K8" s="13" t="inlineStr">
        <is>
          <t>subscription_included</t>
        </is>
      </c>
      <c r="L8" s="13" t="inlineStr">
        <is>
          <t>No</t>
        </is>
      </c>
      <c r="M8" s="13" t="n">
        <v>9.1</v>
      </c>
      <c r="N8" s="13" t="n">
        <v>8.800000000000001</v>
      </c>
      <c r="O8" s="13" t="n">
        <v>9.199999999999999</v>
      </c>
      <c r="P8" s="13" t="n">
        <v>8.699999999999999</v>
      </c>
      <c r="Q8" s="13">
        <f>IFERROR(ROUND(AVERAGE(M8:P8),1),"")</f>
        <v/>
      </c>
      <c r="R8" s="13" t="n">
        <v>9</v>
      </c>
      <c r="S8" s="13" t="n">
        <v>8.800000000000001</v>
      </c>
      <c r="T8" s="13" t="n">
        <v>8.9</v>
      </c>
      <c r="U8" s="13" t="n">
        <v>9</v>
      </c>
      <c r="V8" s="13">
        <f>IFERROR(ROUND(AVERAGE(R8:U8),1),"")</f>
        <v/>
      </c>
      <c r="W8" s="13" t="n">
        <v>9.1</v>
      </c>
      <c r="X8" s="13" t="n">
        <v>9.199999999999999</v>
      </c>
      <c r="Y8" s="13" t="n">
        <v>8.5</v>
      </c>
      <c r="Z8" s="13" t="n">
        <v>9</v>
      </c>
      <c r="AA8" s="13">
        <f>IFERROR(ROUND(AVERAGE(W8:Z8),1),"")</f>
        <v/>
      </c>
      <c r="AB8" s="13" t="n">
        <v>9</v>
      </c>
      <c r="AC8" s="13" t="n">
        <v>9.199999999999999</v>
      </c>
      <c r="AD8" s="13" t="n">
        <v>9</v>
      </c>
      <c r="AE8" s="13" t="n">
        <v>8.5</v>
      </c>
      <c r="AF8" s="13">
        <f>IFERROR(ROUND(AVERAGE(AB8:AE8),1),"")</f>
        <v/>
      </c>
      <c r="AG8" s="13" t="n">
        <v>8.5</v>
      </c>
      <c r="AH8" s="13" t="n">
        <v>7.5</v>
      </c>
      <c r="AI8" s="13" t="n">
        <v>8.800000000000001</v>
      </c>
      <c r="AJ8" s="13" t="n">
        <v>8.699999999999999</v>
      </c>
      <c r="AK8" s="13">
        <f>IFERROR(ROUND(AVERAGE(AG8:AJ8),1),"")</f>
        <v/>
      </c>
      <c r="AL8" s="13" t="n">
        <v>8.5</v>
      </c>
      <c r="AM8" s="13" t="n">
        <v>8.5</v>
      </c>
      <c r="AN8" s="13" t="inlineStr"/>
      <c r="AO8" s="13">
        <f>IFERROR(ROUND(AVERAGE(AL8:AN8),1),"")</f>
        <v/>
      </c>
      <c r="AP8" s="13" t="n">
        <v>5.6</v>
      </c>
      <c r="AQ8" s="13" t="n">
        <v>5.6</v>
      </c>
      <c r="AR8" s="13" t="n">
        <v>10</v>
      </c>
      <c r="AS8" s="13" t="n">
        <v>4.6</v>
      </c>
      <c r="AT8" s="13">
        <f>IFERROR(ROUND(AVERAGE(AP8:AS8),1),"")</f>
        <v/>
      </c>
      <c r="AU8" s="13" t="n">
        <v>8.6</v>
      </c>
      <c r="AV8" s="13" t="n">
        <v>8.699999999999999</v>
      </c>
      <c r="AW8" s="13" t="n">
        <v>9.1</v>
      </c>
      <c r="AX8" s="13" t="n">
        <v>8.5</v>
      </c>
      <c r="AY8" s="13">
        <f>IFERROR(ROUND(AVERAGE(AU8:AX8),1),"")</f>
        <v/>
      </c>
      <c r="AZ8" s="13">
        <f>ROUND(0.19*N(Q8)+0.17*N(V8)+0.17*N(AA8)+0.1*N(AF8)+0.09*N(AK8)+0.12*N(AT8)+0.16*N(AY8),1)</f>
        <v/>
      </c>
      <c r="BA8" s="13" t="inlineStr">
        <is>
          <t>1M</t>
        </is>
      </c>
      <c r="BB8" s="13" t="n">
        <v>64000</v>
      </c>
      <c r="BC8" s="13" t="n">
        <v>5</v>
      </c>
      <c r="BD8" s="13" t="n">
        <v>25</v>
      </c>
      <c r="BE8" s="13" t="inlineStr">
        <is>
          <t>critical</t>
        </is>
      </c>
      <c r="BF8" s="13" t="n">
        <v>5</v>
      </c>
      <c r="BG8" s="13" t="n">
        <v>5</v>
      </c>
      <c r="BH8" s="13" t="inlineStr">
        <is>
          <t>Same as 4.8 where 4.8 unavailable; SWE-bench Pro leader 64.3%</t>
        </is>
      </c>
      <c r="BI8" s="13" t="inlineStr"/>
      <c r="BJ8" s="14" t="inlineStr">
        <is>
          <t>H</t>
        </is>
      </c>
      <c r="BK8" s="13" t="inlineStr">
        <is>
          <t>AA Index 57; SWE-bench Verified 87.6%, Pro 64.3%; benchmark-anchored (AA Index, SWE-bench, GPQA, ARC-AGI-2, Aider, MMMU 2026-06)</t>
        </is>
      </c>
      <c r="BL8" s="13" t="inlineStr">
        <is>
          <t>2026-06-07</t>
        </is>
      </c>
    </row>
    <row r="9">
      <c r="A9" s="13" t="inlineStr">
        <is>
          <t>claude-opus-4-7</t>
        </is>
      </c>
      <c r="B9" s="13" t="inlineStr">
        <is>
          <t>Claude Opus 4.7</t>
        </is>
      </c>
      <c r="C9" s="13" t="inlineStr">
        <is>
          <t>Anthropic</t>
        </is>
      </c>
      <c r="D9" s="13" t="inlineStr">
        <is>
          <t>Claude 4.x Opus</t>
        </is>
      </c>
      <c r="E9" s="13" t="inlineStr">
        <is>
          <t>4.7</t>
        </is>
      </c>
      <c r="F9" s="13" t="inlineStr">
        <is>
          <t>Legacy (prior flagship)</t>
        </is>
      </c>
      <c r="G9" s="13" t="inlineStr">
        <is>
          <t>Flagship Reasoner</t>
        </is>
      </c>
      <c r="H9" s="13" t="inlineStr">
        <is>
          <t>Amazon Bedrock (Kiro)</t>
        </is>
      </c>
      <c r="I9" s="13" t="inlineStr">
        <is>
          <t>Aggregator</t>
        </is>
      </c>
      <c r="J9" s="13" t="inlineStr">
        <is>
          <t>Installed; login unverified</t>
        </is>
      </c>
      <c r="K9" s="13" t="inlineStr">
        <is>
          <t>metered (not configured)</t>
        </is>
      </c>
      <c r="L9" s="13" t="inlineStr">
        <is>
          <t>No</t>
        </is>
      </c>
      <c r="M9" s="13" t="n">
        <v>9.1</v>
      </c>
      <c r="N9" s="13" t="n">
        <v>8.800000000000001</v>
      </c>
      <c r="O9" s="13" t="n">
        <v>9.199999999999999</v>
      </c>
      <c r="P9" s="13" t="n">
        <v>8.699999999999999</v>
      </c>
      <c r="Q9" s="13">
        <f>IFERROR(ROUND(AVERAGE(M9:P9),1),"")</f>
        <v/>
      </c>
      <c r="R9" s="13" t="n">
        <v>9</v>
      </c>
      <c r="S9" s="13" t="n">
        <v>8.800000000000001</v>
      </c>
      <c r="T9" s="13" t="n">
        <v>8.9</v>
      </c>
      <c r="U9" s="13" t="n">
        <v>9</v>
      </c>
      <c r="V9" s="13">
        <f>IFERROR(ROUND(AVERAGE(R9:U9),1),"")</f>
        <v/>
      </c>
      <c r="W9" s="13" t="n">
        <v>9.1</v>
      </c>
      <c r="X9" s="13" t="n">
        <v>9.199999999999999</v>
      </c>
      <c r="Y9" s="13" t="n">
        <v>8.5</v>
      </c>
      <c r="Z9" s="13" t="n">
        <v>9</v>
      </c>
      <c r="AA9" s="13">
        <f>IFERROR(ROUND(AVERAGE(W9:Z9),1),"")</f>
        <v/>
      </c>
      <c r="AB9" s="13" t="n">
        <v>9</v>
      </c>
      <c r="AC9" s="13" t="n">
        <v>9.199999999999999</v>
      </c>
      <c r="AD9" s="13" t="n">
        <v>9</v>
      </c>
      <c r="AE9" s="13" t="n">
        <v>8.5</v>
      </c>
      <c r="AF9" s="13">
        <f>IFERROR(ROUND(AVERAGE(AB9:AE9),1),"")</f>
        <v/>
      </c>
      <c r="AG9" s="13" t="n">
        <v>8.5</v>
      </c>
      <c r="AH9" s="13" t="n">
        <v>7.5</v>
      </c>
      <c r="AI9" s="13" t="n">
        <v>8.800000000000001</v>
      </c>
      <c r="AJ9" s="13" t="n">
        <v>8.699999999999999</v>
      </c>
      <c r="AK9" s="13">
        <f>IFERROR(ROUND(AVERAGE(AG9:AJ9),1),"")</f>
        <v/>
      </c>
      <c r="AL9" s="13" t="n">
        <v>8.5</v>
      </c>
      <c r="AM9" s="13" t="n">
        <v>8.5</v>
      </c>
      <c r="AN9" s="13" t="inlineStr"/>
      <c r="AO9" s="13">
        <f>IFERROR(ROUND(AVERAGE(AL9:AN9),1),"")</f>
        <v/>
      </c>
      <c r="AP9" s="13" t="n">
        <v>5.6</v>
      </c>
      <c r="AQ9" s="13" t="n">
        <v>5.6</v>
      </c>
      <c r="AR9" s="13" t="n">
        <v>10</v>
      </c>
      <c r="AS9" s="13" t="n">
        <v>4.6</v>
      </c>
      <c r="AT9" s="13">
        <f>IFERROR(ROUND(AVERAGE(AP9:AS9),1),"")</f>
        <v/>
      </c>
      <c r="AU9" s="13" t="n">
        <v>8.6</v>
      </c>
      <c r="AV9" s="13" t="n">
        <v>8.699999999999999</v>
      </c>
      <c r="AW9" s="13" t="n">
        <v>9.1</v>
      </c>
      <c r="AX9" s="13" t="n">
        <v>8.5</v>
      </c>
      <c r="AY9" s="13">
        <f>IFERROR(ROUND(AVERAGE(AU9:AX9),1),"")</f>
        <v/>
      </c>
      <c r="AZ9" s="13">
        <f>ROUND(0.19*N(Q9)+0.17*N(V9)+0.17*N(AA9)+0.1*N(AF9)+0.09*N(AK9)+0.12*N(AT9)+0.16*N(AY9),1)</f>
        <v/>
      </c>
      <c r="BA9" s="13" t="inlineStr">
        <is>
          <t>1M</t>
        </is>
      </c>
      <c r="BB9" s="13" t="n">
        <v>64000</v>
      </c>
      <c r="BC9" s="13" t="n">
        <v>5</v>
      </c>
      <c r="BD9" s="13" t="n">
        <v>25</v>
      </c>
      <c r="BE9" s="13" t="inlineStr">
        <is>
          <t>critical</t>
        </is>
      </c>
      <c r="BF9" s="13" t="n">
        <v>5</v>
      </c>
      <c r="BG9" s="13" t="n">
        <v>5</v>
      </c>
      <c r="BH9" s="13" t="inlineStr">
        <is>
          <t>Same as 4.8 where 4.8 unavailable; SWE-bench Pro leader 64.3%</t>
        </is>
      </c>
      <c r="BI9" s="13" t="inlineStr"/>
      <c r="BJ9" s="14" t="inlineStr">
        <is>
          <t>H</t>
        </is>
      </c>
      <c r="BK9" s="13" t="inlineStr">
        <is>
          <t>AA Index 57; SWE-bench Verified 87.6%, Pro 64.3%; benchmark-anchored (AA Index, SWE-bench, GPQA, ARC-AGI-2, Aider, MMMU 2026-06)</t>
        </is>
      </c>
      <c r="BL9" s="13" t="inlineStr">
        <is>
          <t>2026-06-07</t>
        </is>
      </c>
    </row>
    <row r="10">
      <c r="A10" s="13" t="inlineStr">
        <is>
          <t>claude-opus-4-6</t>
        </is>
      </c>
      <c r="B10" s="13" t="inlineStr">
        <is>
          <t>Claude Opus 4.6</t>
        </is>
      </c>
      <c r="C10" s="13" t="inlineStr">
        <is>
          <t>Anthropic</t>
        </is>
      </c>
      <c r="D10" s="13" t="inlineStr">
        <is>
          <t>Claude 4.x Opus</t>
        </is>
      </c>
      <c r="E10" s="13" t="inlineStr">
        <is>
          <t>4.6</t>
        </is>
      </c>
      <c r="F10" s="13" t="inlineStr">
        <is>
          <t>Legacy</t>
        </is>
      </c>
      <c r="G10" s="13" t="inlineStr">
        <is>
          <t>Flagship Reasoner</t>
        </is>
      </c>
      <c r="H10" s="13" t="inlineStr">
        <is>
          <t>Anthropic API</t>
        </is>
      </c>
      <c r="I10" s="13" t="inlineStr">
        <is>
          <t>HTTP API</t>
        </is>
      </c>
      <c r="J10" s="13" t="inlineStr">
        <is>
          <t>Working (Claude plan)</t>
        </is>
      </c>
      <c r="K10" s="13" t="inlineStr">
        <is>
          <t>subscription_included</t>
        </is>
      </c>
      <c r="L10" s="13" t="inlineStr">
        <is>
          <t>No</t>
        </is>
      </c>
      <c r="M10" s="13" t="n">
        <v>9</v>
      </c>
      <c r="N10" s="13" t="n">
        <v>8.6</v>
      </c>
      <c r="O10" s="13" t="n">
        <v>9</v>
      </c>
      <c r="P10" s="13" t="n">
        <v>8.6</v>
      </c>
      <c r="Q10" s="13">
        <f>IFERROR(ROUND(AVERAGE(M10:P10),1),"")</f>
        <v/>
      </c>
      <c r="R10" s="13" t="n">
        <v>8.699999999999999</v>
      </c>
      <c r="S10" s="13" t="n">
        <v>8.4</v>
      </c>
      <c r="T10" s="13" t="n">
        <v>8.199999999999999</v>
      </c>
      <c r="U10" s="13" t="n">
        <v>8.699999999999999</v>
      </c>
      <c r="V10" s="13">
        <f>IFERROR(ROUND(AVERAGE(R10:U10),1),"")</f>
        <v/>
      </c>
      <c r="W10" s="13" t="n">
        <v>8.9</v>
      </c>
      <c r="X10" s="13" t="n">
        <v>9</v>
      </c>
      <c r="Y10" s="13" t="n">
        <v>8.4</v>
      </c>
      <c r="Z10" s="13" t="n">
        <v>8.9</v>
      </c>
      <c r="AA10" s="13">
        <f>IFERROR(ROUND(AVERAGE(W10:Z10),1),"")</f>
        <v/>
      </c>
      <c r="AB10" s="13" t="n">
        <v>8.9</v>
      </c>
      <c r="AC10" s="13" t="n">
        <v>9.1</v>
      </c>
      <c r="AD10" s="13" t="n">
        <v>8.9</v>
      </c>
      <c r="AE10" s="13" t="n">
        <v>8.4</v>
      </c>
      <c r="AF10" s="13">
        <f>IFERROR(ROUND(AVERAGE(AB10:AE10),1),"")</f>
        <v/>
      </c>
      <c r="AG10" s="13" t="n">
        <v>8.300000000000001</v>
      </c>
      <c r="AH10" s="13" t="n">
        <v>7.3</v>
      </c>
      <c r="AI10" s="13" t="n">
        <v>8.6</v>
      </c>
      <c r="AJ10" s="13" t="n">
        <v>8.5</v>
      </c>
      <c r="AK10" s="13">
        <f>IFERROR(ROUND(AVERAGE(AG10:AJ10),1),"")</f>
        <v/>
      </c>
      <c r="AL10" s="13" t="n">
        <v>8.4</v>
      </c>
      <c r="AM10" s="13" t="n">
        <v>8.4</v>
      </c>
      <c r="AN10" s="13" t="inlineStr"/>
      <c r="AO10" s="13">
        <f>IFERROR(ROUND(AVERAGE(AL10:AN10),1),"")</f>
        <v/>
      </c>
      <c r="AP10" s="13" t="n">
        <v>5.8</v>
      </c>
      <c r="AQ10" s="13" t="n">
        <v>5.8</v>
      </c>
      <c r="AR10" s="13" t="n">
        <v>10</v>
      </c>
      <c r="AS10" s="13" t="n">
        <v>4.6</v>
      </c>
      <c r="AT10" s="13">
        <f>IFERROR(ROUND(AVERAGE(AP10:AS10),1),"")</f>
        <v/>
      </c>
      <c r="AU10" s="13" t="n">
        <v>8.5</v>
      </c>
      <c r="AV10" s="13" t="n">
        <v>8.6</v>
      </c>
      <c r="AW10" s="13" t="n">
        <v>9.1</v>
      </c>
      <c r="AX10" s="13" t="n">
        <v>8.4</v>
      </c>
      <c r="AY10" s="13">
        <f>IFERROR(ROUND(AVERAGE(AU10:AX10),1),"")</f>
        <v/>
      </c>
      <c r="AZ10" s="13">
        <f>ROUND(0.19*N(Q10)+0.17*N(V10)+0.17*N(AA10)+0.1*N(AF10)+0.09*N(AK10)+0.12*N(AT10)+0.16*N(AY10),1)</f>
        <v/>
      </c>
      <c r="BA10" s="13" t="inlineStr">
        <is>
          <t>1M</t>
        </is>
      </c>
      <c r="BB10" s="13" t="n">
        <v>128000</v>
      </c>
      <c r="BC10" s="13" t="n">
        <v>5</v>
      </c>
      <c r="BD10" s="13" t="n">
        <v>25</v>
      </c>
      <c r="BE10" s="13" t="inlineStr">
        <is>
          <t>critical</t>
        </is>
      </c>
      <c r="BF10" s="13" t="n">
        <v>5</v>
      </c>
      <c r="BG10" s="13" t="n">
        <v>4</v>
      </c>
      <c r="BH10" s="13" t="inlineStr">
        <is>
          <t>Adaptive-thinking reasoning, agentic IDE work (Antigravity default)</t>
        </is>
      </c>
      <c r="BI10" s="13" t="inlineStr"/>
      <c r="BJ10" s="14" t="inlineStr">
        <is>
          <t>H</t>
        </is>
      </c>
      <c r="BK10" s="13" t="inlineStr">
        <is>
          <t>HLE 34.4%; Aider Polyglot 82.1%; benchmark-anchored (AA Index, SWE-bench, GPQA, ARC-AGI-2, Aider, MMMU 2026-06)</t>
        </is>
      </c>
      <c r="BL10" s="13" t="inlineStr">
        <is>
          <t>2026-06-07</t>
        </is>
      </c>
    </row>
    <row r="11">
      <c r="A11" s="13" t="inlineStr">
        <is>
          <t>claude-opus-4-6</t>
        </is>
      </c>
      <c r="B11" s="13" t="inlineStr">
        <is>
          <t>Claude Opus 4.6</t>
        </is>
      </c>
      <c r="C11" s="13" t="inlineStr">
        <is>
          <t>Anthropic</t>
        </is>
      </c>
      <c r="D11" s="13" t="inlineStr">
        <is>
          <t>Claude 4.x Opus</t>
        </is>
      </c>
      <c r="E11" s="13" t="inlineStr">
        <is>
          <t>4.6</t>
        </is>
      </c>
      <c r="F11" s="13" t="inlineStr">
        <is>
          <t>Legacy</t>
        </is>
      </c>
      <c r="G11" s="13" t="inlineStr">
        <is>
          <t>Flagship Reasoner</t>
        </is>
      </c>
      <c r="H11" s="13" t="inlineStr">
        <is>
          <t>Claude Code CLI</t>
        </is>
      </c>
      <c r="I11" s="13" t="inlineStr">
        <is>
          <t>CLI</t>
        </is>
      </c>
      <c r="J11" s="13" t="inlineStr">
        <is>
          <t>Working</t>
        </is>
      </c>
      <c r="K11" s="13" t="inlineStr">
        <is>
          <t>subscription_included</t>
        </is>
      </c>
      <c r="L11" s="13" t="inlineStr">
        <is>
          <t>No</t>
        </is>
      </c>
      <c r="M11" s="13" t="n">
        <v>9</v>
      </c>
      <c r="N11" s="13" t="n">
        <v>8.6</v>
      </c>
      <c r="O11" s="13" t="n">
        <v>9</v>
      </c>
      <c r="P11" s="13" t="n">
        <v>8.6</v>
      </c>
      <c r="Q11" s="13">
        <f>IFERROR(ROUND(AVERAGE(M11:P11),1),"")</f>
        <v/>
      </c>
      <c r="R11" s="13" t="n">
        <v>8.699999999999999</v>
      </c>
      <c r="S11" s="13" t="n">
        <v>8.4</v>
      </c>
      <c r="T11" s="13" t="n">
        <v>8.199999999999999</v>
      </c>
      <c r="U11" s="13" t="n">
        <v>8.699999999999999</v>
      </c>
      <c r="V11" s="13">
        <f>IFERROR(ROUND(AVERAGE(R11:U11),1),"")</f>
        <v/>
      </c>
      <c r="W11" s="13" t="n">
        <v>8.9</v>
      </c>
      <c r="X11" s="13" t="n">
        <v>9</v>
      </c>
      <c r="Y11" s="13" t="n">
        <v>8.4</v>
      </c>
      <c r="Z11" s="13" t="n">
        <v>8.9</v>
      </c>
      <c r="AA11" s="13">
        <f>IFERROR(ROUND(AVERAGE(W11:Z11),1),"")</f>
        <v/>
      </c>
      <c r="AB11" s="13" t="n">
        <v>8.9</v>
      </c>
      <c r="AC11" s="13" t="n">
        <v>9.1</v>
      </c>
      <c r="AD11" s="13" t="n">
        <v>8.9</v>
      </c>
      <c r="AE11" s="13" t="n">
        <v>8.4</v>
      </c>
      <c r="AF11" s="13">
        <f>IFERROR(ROUND(AVERAGE(AB11:AE11),1),"")</f>
        <v/>
      </c>
      <c r="AG11" s="13" t="n">
        <v>8.300000000000001</v>
      </c>
      <c r="AH11" s="13" t="n">
        <v>7.3</v>
      </c>
      <c r="AI11" s="13" t="n">
        <v>8.6</v>
      </c>
      <c r="AJ11" s="13" t="n">
        <v>8.5</v>
      </c>
      <c r="AK11" s="13">
        <f>IFERROR(ROUND(AVERAGE(AG11:AJ11),1),"")</f>
        <v/>
      </c>
      <c r="AL11" s="13" t="n">
        <v>8.4</v>
      </c>
      <c r="AM11" s="13" t="n">
        <v>8.4</v>
      </c>
      <c r="AN11" s="13" t="inlineStr"/>
      <c r="AO11" s="13">
        <f>IFERROR(ROUND(AVERAGE(AL11:AN11),1),"")</f>
        <v/>
      </c>
      <c r="AP11" s="13" t="n">
        <v>5.8</v>
      </c>
      <c r="AQ11" s="13" t="n">
        <v>5.8</v>
      </c>
      <c r="AR11" s="13" t="n">
        <v>10</v>
      </c>
      <c r="AS11" s="13" t="n">
        <v>4.6</v>
      </c>
      <c r="AT11" s="13">
        <f>IFERROR(ROUND(AVERAGE(AP11:AS11),1),"")</f>
        <v/>
      </c>
      <c r="AU11" s="13" t="n">
        <v>8.5</v>
      </c>
      <c r="AV11" s="13" t="n">
        <v>8.6</v>
      </c>
      <c r="AW11" s="13" t="n">
        <v>9.1</v>
      </c>
      <c r="AX11" s="13" t="n">
        <v>8.4</v>
      </c>
      <c r="AY11" s="13">
        <f>IFERROR(ROUND(AVERAGE(AU11:AX11),1),"")</f>
        <v/>
      </c>
      <c r="AZ11" s="13">
        <f>ROUND(0.19*N(Q11)+0.17*N(V11)+0.17*N(AA11)+0.1*N(AF11)+0.09*N(AK11)+0.12*N(AT11)+0.16*N(AY11),1)</f>
        <v/>
      </c>
      <c r="BA11" s="13" t="inlineStr">
        <is>
          <t>1M</t>
        </is>
      </c>
      <c r="BB11" s="13" t="n">
        <v>128000</v>
      </c>
      <c r="BC11" s="13" t="n">
        <v>5</v>
      </c>
      <c r="BD11" s="13" t="n">
        <v>25</v>
      </c>
      <c r="BE11" s="13" t="inlineStr">
        <is>
          <t>critical</t>
        </is>
      </c>
      <c r="BF11" s="13" t="n">
        <v>5</v>
      </c>
      <c r="BG11" s="13" t="n">
        <v>4</v>
      </c>
      <c r="BH11" s="13" t="inlineStr">
        <is>
          <t>Adaptive-thinking reasoning, agentic IDE work (Antigravity default)</t>
        </is>
      </c>
      <c r="BI11" s="13" t="inlineStr"/>
      <c r="BJ11" s="14" t="inlineStr">
        <is>
          <t>H</t>
        </is>
      </c>
      <c r="BK11" s="13" t="inlineStr">
        <is>
          <t>HLE 34.4%; Aider Polyglot 82.1%; benchmark-anchored (AA Index, SWE-bench, GPQA, ARC-AGI-2, Aider, MMMU 2026-06)</t>
        </is>
      </c>
      <c r="BL11" s="13" t="inlineStr">
        <is>
          <t>2026-06-07</t>
        </is>
      </c>
    </row>
    <row r="12">
      <c r="A12" s="13" t="inlineStr">
        <is>
          <t>claude-opus-4-6</t>
        </is>
      </c>
      <c r="B12" s="13" t="inlineStr">
        <is>
          <t>Claude Opus 4.6</t>
        </is>
      </c>
      <c r="C12" s="13" t="inlineStr">
        <is>
          <t>Anthropic</t>
        </is>
      </c>
      <c r="D12" s="13" t="inlineStr">
        <is>
          <t>Claude 4.x Opus</t>
        </is>
      </c>
      <c r="E12" s="13" t="inlineStr">
        <is>
          <t>4.6</t>
        </is>
      </c>
      <c r="F12" s="13" t="inlineStr">
        <is>
          <t>Legacy</t>
        </is>
      </c>
      <c r="G12" s="13" t="inlineStr">
        <is>
          <t>Flagship Reasoner</t>
        </is>
      </c>
      <c r="H12" s="13" t="inlineStr">
        <is>
          <t>Google Antigravity</t>
        </is>
      </c>
      <c r="I12" s="13" t="inlineStr">
        <is>
          <t>IDE app</t>
        </is>
      </c>
      <c r="J12" s="13" t="inlineStr">
        <is>
          <t>Installed</t>
        </is>
      </c>
      <c r="K12" s="13" t="inlineStr">
        <is>
          <t>subscription_included</t>
        </is>
      </c>
      <c r="L12" s="13" t="inlineStr">
        <is>
          <t>No</t>
        </is>
      </c>
      <c r="M12" s="13" t="n">
        <v>9</v>
      </c>
      <c r="N12" s="13" t="n">
        <v>8.6</v>
      </c>
      <c r="O12" s="13" t="n">
        <v>9</v>
      </c>
      <c r="P12" s="13" t="n">
        <v>8.6</v>
      </c>
      <c r="Q12" s="13">
        <f>IFERROR(ROUND(AVERAGE(M12:P12),1),"")</f>
        <v/>
      </c>
      <c r="R12" s="13" t="n">
        <v>8.699999999999999</v>
      </c>
      <c r="S12" s="13" t="n">
        <v>8.4</v>
      </c>
      <c r="T12" s="13" t="n">
        <v>8.199999999999999</v>
      </c>
      <c r="U12" s="13" t="n">
        <v>8.699999999999999</v>
      </c>
      <c r="V12" s="13">
        <f>IFERROR(ROUND(AVERAGE(R12:U12),1),"")</f>
        <v/>
      </c>
      <c r="W12" s="13" t="n">
        <v>8.9</v>
      </c>
      <c r="X12" s="13" t="n">
        <v>9</v>
      </c>
      <c r="Y12" s="13" t="n">
        <v>8.4</v>
      </c>
      <c r="Z12" s="13" t="n">
        <v>8.9</v>
      </c>
      <c r="AA12" s="13">
        <f>IFERROR(ROUND(AVERAGE(W12:Z12),1),"")</f>
        <v/>
      </c>
      <c r="AB12" s="13" t="n">
        <v>8.9</v>
      </c>
      <c r="AC12" s="13" t="n">
        <v>9.1</v>
      </c>
      <c r="AD12" s="13" t="n">
        <v>8.9</v>
      </c>
      <c r="AE12" s="13" t="n">
        <v>8.4</v>
      </c>
      <c r="AF12" s="13">
        <f>IFERROR(ROUND(AVERAGE(AB12:AE12),1),"")</f>
        <v/>
      </c>
      <c r="AG12" s="13" t="n">
        <v>8.300000000000001</v>
      </c>
      <c r="AH12" s="13" t="n">
        <v>7.3</v>
      </c>
      <c r="AI12" s="13" t="n">
        <v>8.6</v>
      </c>
      <c r="AJ12" s="13" t="n">
        <v>8.5</v>
      </c>
      <c r="AK12" s="13">
        <f>IFERROR(ROUND(AVERAGE(AG12:AJ12),1),"")</f>
        <v/>
      </c>
      <c r="AL12" s="13" t="n">
        <v>8.4</v>
      </c>
      <c r="AM12" s="13" t="n">
        <v>8.4</v>
      </c>
      <c r="AN12" s="13" t="inlineStr"/>
      <c r="AO12" s="13">
        <f>IFERROR(ROUND(AVERAGE(AL12:AN12),1),"")</f>
        <v/>
      </c>
      <c r="AP12" s="13" t="n">
        <v>5.8</v>
      </c>
      <c r="AQ12" s="13" t="n">
        <v>5.8</v>
      </c>
      <c r="AR12" s="13" t="n">
        <v>10</v>
      </c>
      <c r="AS12" s="13" t="n">
        <v>4.6</v>
      </c>
      <c r="AT12" s="13">
        <f>IFERROR(ROUND(AVERAGE(AP12:AS12),1),"")</f>
        <v/>
      </c>
      <c r="AU12" s="13" t="n">
        <v>8.5</v>
      </c>
      <c r="AV12" s="13" t="n">
        <v>8.6</v>
      </c>
      <c r="AW12" s="13" t="n">
        <v>9.1</v>
      </c>
      <c r="AX12" s="13" t="n">
        <v>8.4</v>
      </c>
      <c r="AY12" s="13">
        <f>IFERROR(ROUND(AVERAGE(AU12:AX12),1),"")</f>
        <v/>
      </c>
      <c r="AZ12" s="13">
        <f>ROUND(0.19*N(Q12)+0.17*N(V12)+0.17*N(AA12)+0.1*N(AF12)+0.09*N(AK12)+0.12*N(AT12)+0.16*N(AY12),1)</f>
        <v/>
      </c>
      <c r="BA12" s="13" t="inlineStr">
        <is>
          <t>1M</t>
        </is>
      </c>
      <c r="BB12" s="13" t="n">
        <v>128000</v>
      </c>
      <c r="BC12" s="13" t="n">
        <v>5</v>
      </c>
      <c r="BD12" s="13" t="n">
        <v>25</v>
      </c>
      <c r="BE12" s="13" t="inlineStr">
        <is>
          <t>critical</t>
        </is>
      </c>
      <c r="BF12" s="13" t="n">
        <v>5</v>
      </c>
      <c r="BG12" s="13" t="n">
        <v>4</v>
      </c>
      <c r="BH12" s="13" t="inlineStr">
        <is>
          <t>Adaptive-thinking reasoning, agentic IDE work (Antigravity default)</t>
        </is>
      </c>
      <c r="BI12" s="13" t="inlineStr"/>
      <c r="BJ12" s="14" t="inlineStr">
        <is>
          <t>H</t>
        </is>
      </c>
      <c r="BK12" s="13" t="inlineStr">
        <is>
          <t>HLE 34.4%; Aider Polyglot 82.1%; benchmark-anchored (AA Index, SWE-bench, GPQA, ARC-AGI-2, Aider, MMMU 2026-06)</t>
        </is>
      </c>
      <c r="BL12" s="13" t="inlineStr">
        <is>
          <t>2026-06-07</t>
        </is>
      </c>
    </row>
    <row r="13">
      <c r="A13" s="13" t="inlineStr">
        <is>
          <t>claude-opus-4-6</t>
        </is>
      </c>
      <c r="B13" s="13" t="inlineStr">
        <is>
          <t>Claude Opus 4.6</t>
        </is>
      </c>
      <c r="C13" s="13" t="inlineStr">
        <is>
          <t>Anthropic</t>
        </is>
      </c>
      <c r="D13" s="13" t="inlineStr">
        <is>
          <t>Claude 4.x Opus</t>
        </is>
      </c>
      <c r="E13" s="13" t="inlineStr">
        <is>
          <t>4.6</t>
        </is>
      </c>
      <c r="F13" s="13" t="inlineStr">
        <is>
          <t>Legacy</t>
        </is>
      </c>
      <c r="G13" s="13" t="inlineStr">
        <is>
          <t>Flagship Reasoner</t>
        </is>
      </c>
      <c r="H13" s="13" t="inlineStr">
        <is>
          <t>Amazon Bedrock (Kiro)</t>
        </is>
      </c>
      <c r="I13" s="13" t="inlineStr">
        <is>
          <t>Aggregator</t>
        </is>
      </c>
      <c r="J13" s="13" t="inlineStr">
        <is>
          <t>Installed; login unverified</t>
        </is>
      </c>
      <c r="K13" s="13" t="inlineStr">
        <is>
          <t>metered (not configured)</t>
        </is>
      </c>
      <c r="L13" s="13" t="inlineStr">
        <is>
          <t>No</t>
        </is>
      </c>
      <c r="M13" s="13" t="n">
        <v>9</v>
      </c>
      <c r="N13" s="13" t="n">
        <v>8.6</v>
      </c>
      <c r="O13" s="13" t="n">
        <v>9</v>
      </c>
      <c r="P13" s="13" t="n">
        <v>8.6</v>
      </c>
      <c r="Q13" s="13">
        <f>IFERROR(ROUND(AVERAGE(M13:P13),1),"")</f>
        <v/>
      </c>
      <c r="R13" s="13" t="n">
        <v>8.699999999999999</v>
      </c>
      <c r="S13" s="13" t="n">
        <v>8.4</v>
      </c>
      <c r="T13" s="13" t="n">
        <v>8.199999999999999</v>
      </c>
      <c r="U13" s="13" t="n">
        <v>8.699999999999999</v>
      </c>
      <c r="V13" s="13">
        <f>IFERROR(ROUND(AVERAGE(R13:U13),1),"")</f>
        <v/>
      </c>
      <c r="W13" s="13" t="n">
        <v>8.9</v>
      </c>
      <c r="X13" s="13" t="n">
        <v>9</v>
      </c>
      <c r="Y13" s="13" t="n">
        <v>8.4</v>
      </c>
      <c r="Z13" s="13" t="n">
        <v>8.9</v>
      </c>
      <c r="AA13" s="13">
        <f>IFERROR(ROUND(AVERAGE(W13:Z13),1),"")</f>
        <v/>
      </c>
      <c r="AB13" s="13" t="n">
        <v>8.9</v>
      </c>
      <c r="AC13" s="13" t="n">
        <v>9.1</v>
      </c>
      <c r="AD13" s="13" t="n">
        <v>8.9</v>
      </c>
      <c r="AE13" s="13" t="n">
        <v>8.4</v>
      </c>
      <c r="AF13" s="13">
        <f>IFERROR(ROUND(AVERAGE(AB13:AE13),1),"")</f>
        <v/>
      </c>
      <c r="AG13" s="13" t="n">
        <v>8.300000000000001</v>
      </c>
      <c r="AH13" s="13" t="n">
        <v>7.3</v>
      </c>
      <c r="AI13" s="13" t="n">
        <v>8.6</v>
      </c>
      <c r="AJ13" s="13" t="n">
        <v>8.5</v>
      </c>
      <c r="AK13" s="13">
        <f>IFERROR(ROUND(AVERAGE(AG13:AJ13),1),"")</f>
        <v/>
      </c>
      <c r="AL13" s="13" t="n">
        <v>8.4</v>
      </c>
      <c r="AM13" s="13" t="n">
        <v>8.4</v>
      </c>
      <c r="AN13" s="13" t="inlineStr"/>
      <c r="AO13" s="13">
        <f>IFERROR(ROUND(AVERAGE(AL13:AN13),1),"")</f>
        <v/>
      </c>
      <c r="AP13" s="13" t="n">
        <v>5.8</v>
      </c>
      <c r="AQ13" s="13" t="n">
        <v>5.8</v>
      </c>
      <c r="AR13" s="13" t="n">
        <v>10</v>
      </c>
      <c r="AS13" s="13" t="n">
        <v>4.6</v>
      </c>
      <c r="AT13" s="13">
        <f>IFERROR(ROUND(AVERAGE(AP13:AS13),1),"")</f>
        <v/>
      </c>
      <c r="AU13" s="13" t="n">
        <v>8.5</v>
      </c>
      <c r="AV13" s="13" t="n">
        <v>8.6</v>
      </c>
      <c r="AW13" s="13" t="n">
        <v>9.1</v>
      </c>
      <c r="AX13" s="13" t="n">
        <v>8.4</v>
      </c>
      <c r="AY13" s="13">
        <f>IFERROR(ROUND(AVERAGE(AU13:AX13),1),"")</f>
        <v/>
      </c>
      <c r="AZ13" s="13">
        <f>ROUND(0.19*N(Q13)+0.17*N(V13)+0.17*N(AA13)+0.1*N(AF13)+0.09*N(AK13)+0.12*N(AT13)+0.16*N(AY13),1)</f>
        <v/>
      </c>
      <c r="BA13" s="13" t="inlineStr">
        <is>
          <t>1M</t>
        </is>
      </c>
      <c r="BB13" s="13" t="n">
        <v>128000</v>
      </c>
      <c r="BC13" s="13" t="n">
        <v>5</v>
      </c>
      <c r="BD13" s="13" t="n">
        <v>25</v>
      </c>
      <c r="BE13" s="13" t="inlineStr">
        <is>
          <t>critical</t>
        </is>
      </c>
      <c r="BF13" s="13" t="n">
        <v>5</v>
      </c>
      <c r="BG13" s="13" t="n">
        <v>4</v>
      </c>
      <c r="BH13" s="13" t="inlineStr">
        <is>
          <t>Adaptive-thinking reasoning, agentic IDE work (Antigravity default)</t>
        </is>
      </c>
      <c r="BI13" s="13" t="inlineStr"/>
      <c r="BJ13" s="14" t="inlineStr">
        <is>
          <t>H</t>
        </is>
      </c>
      <c r="BK13" s="13" t="inlineStr">
        <is>
          <t>HLE 34.4%; Aider Polyglot 82.1%; benchmark-anchored (AA Index, SWE-bench, GPQA, ARC-AGI-2, Aider, MMMU 2026-06)</t>
        </is>
      </c>
      <c r="BL13" s="13" t="inlineStr">
        <is>
          <t>2026-06-07</t>
        </is>
      </c>
    </row>
    <row r="14">
      <c r="A14" s="13" t="inlineStr">
        <is>
          <t>claude-sonnet-4-6</t>
        </is>
      </c>
      <c r="B14" s="13" t="inlineStr">
        <is>
          <t>Claude Sonnet 4.6</t>
        </is>
      </c>
      <c r="C14" s="13" t="inlineStr">
        <is>
          <t>Anthropic</t>
        </is>
      </c>
      <c r="D14" s="13" t="inlineStr">
        <is>
          <t>Claude 4.x Sonnet</t>
        </is>
      </c>
      <c r="E14" s="13" t="inlineStr">
        <is>
          <t>4.6</t>
        </is>
      </c>
      <c r="F14" s="13" t="inlineStr">
        <is>
          <t>Current</t>
        </is>
      </c>
      <c r="G14" s="13" t="inlineStr">
        <is>
          <t>Workhorse</t>
        </is>
      </c>
      <c r="H14" s="13" t="inlineStr">
        <is>
          <t>Anthropic API</t>
        </is>
      </c>
      <c r="I14" s="13" t="inlineStr">
        <is>
          <t>HTTP API</t>
        </is>
      </c>
      <c r="J14" s="13" t="inlineStr">
        <is>
          <t>Working (Claude plan)</t>
        </is>
      </c>
      <c r="K14" s="13" t="inlineStr">
        <is>
          <t>subscription_included</t>
        </is>
      </c>
      <c r="L14" s="13" t="inlineStr">
        <is>
          <t>No</t>
        </is>
      </c>
      <c r="M14" s="13" t="n">
        <v>8.6</v>
      </c>
      <c r="N14" s="13" t="n">
        <v>8.4</v>
      </c>
      <c r="O14" s="13" t="n">
        <v>8.699999999999999</v>
      </c>
      <c r="P14" s="13" t="n">
        <v>8.4</v>
      </c>
      <c r="Q14" s="13">
        <f>IFERROR(ROUND(AVERAGE(M14:P14),1),"")</f>
        <v/>
      </c>
      <c r="R14" s="13" t="n">
        <v>8.6</v>
      </c>
      <c r="S14" s="13" t="n">
        <v>8.4</v>
      </c>
      <c r="T14" s="13" t="n">
        <v>8.5</v>
      </c>
      <c r="U14" s="13" t="n">
        <v>8.6</v>
      </c>
      <c r="V14" s="13">
        <f>IFERROR(ROUND(AVERAGE(R14:U14),1),"")</f>
        <v/>
      </c>
      <c r="W14" s="13" t="n">
        <v>9</v>
      </c>
      <c r="X14" s="13" t="n">
        <v>8.9</v>
      </c>
      <c r="Y14" s="13" t="n">
        <v>8.4</v>
      </c>
      <c r="Z14" s="13" t="n">
        <v>8.800000000000001</v>
      </c>
      <c r="AA14" s="13">
        <f>IFERROR(ROUND(AVERAGE(W14:Z14),1),"")</f>
        <v/>
      </c>
      <c r="AB14" s="13" t="n">
        <v>8.800000000000001</v>
      </c>
      <c r="AC14" s="13" t="n">
        <v>8.9</v>
      </c>
      <c r="AD14" s="13" t="n">
        <v>8.800000000000001</v>
      </c>
      <c r="AE14" s="13" t="n">
        <v>8.4</v>
      </c>
      <c r="AF14" s="13">
        <f>IFERROR(ROUND(AVERAGE(AB14:AE14),1),"")</f>
        <v/>
      </c>
      <c r="AG14" s="13" t="n">
        <v>8.199999999999999</v>
      </c>
      <c r="AH14" s="13" t="n">
        <v>7.3</v>
      </c>
      <c r="AI14" s="13" t="n">
        <v>8.6</v>
      </c>
      <c r="AJ14" s="13" t="n">
        <v>8.300000000000001</v>
      </c>
      <c r="AK14" s="13">
        <f>IFERROR(ROUND(AVERAGE(AG14:AJ14),1),"")</f>
        <v/>
      </c>
      <c r="AL14" s="13" t="n">
        <v>8.300000000000001</v>
      </c>
      <c r="AM14" s="13" t="n">
        <v>8.300000000000001</v>
      </c>
      <c r="AN14" s="13" t="inlineStr"/>
      <c r="AO14" s="13">
        <f>IFERROR(ROUND(AVERAGE(AL14:AN14),1),"")</f>
        <v/>
      </c>
      <c r="AP14" s="13" t="n">
        <v>7.2</v>
      </c>
      <c r="AQ14" s="13" t="n">
        <v>7.2</v>
      </c>
      <c r="AR14" s="13" t="n">
        <v>10</v>
      </c>
      <c r="AS14" s="13" t="n">
        <v>7</v>
      </c>
      <c r="AT14" s="13">
        <f>IFERROR(ROUND(AVERAGE(AP14:AS14),1),"")</f>
        <v/>
      </c>
      <c r="AU14" s="13" t="n">
        <v>8.300000000000001</v>
      </c>
      <c r="AV14" s="13" t="n">
        <v>8.4</v>
      </c>
      <c r="AW14" s="13" t="n">
        <v>8.9</v>
      </c>
      <c r="AX14" s="13" t="n">
        <v>8.300000000000001</v>
      </c>
      <c r="AY14" s="13">
        <f>IFERROR(ROUND(AVERAGE(AU14:AX14),1),"")</f>
        <v/>
      </c>
      <c r="AZ14" s="13">
        <f>ROUND(0.19*N(Q14)+0.17*N(V14)+0.17*N(AA14)+0.1*N(AF14)+0.09*N(AK14)+0.12*N(AT14)+0.16*N(AY14),1)</f>
        <v/>
      </c>
      <c r="BA14" s="13" t="inlineStr">
        <is>
          <t>1M</t>
        </is>
      </c>
      <c r="BB14" s="13" t="n">
        <v>64000</v>
      </c>
      <c r="BC14" s="13" t="n">
        <v>3</v>
      </c>
      <c r="BD14" s="13" t="n">
        <v>15</v>
      </c>
      <c r="BE14" s="13" t="inlineStr">
        <is>
          <t>critical</t>
        </is>
      </c>
      <c r="BF14" s="13" t="n">
        <v>5</v>
      </c>
      <c r="BG14" s="13" t="n">
        <v>4</v>
      </c>
      <c r="BH14" s="13" t="inlineStr">
        <is>
          <t>Best balance: daily agentic coding, tool workflows, drafting</t>
        </is>
      </c>
      <c r="BI14" s="13" t="inlineStr">
        <is>
          <t>Frontier-hardest math/abstract reasoning</t>
        </is>
      </c>
      <c r="BJ14" s="14" t="inlineStr">
        <is>
          <t>H</t>
        </is>
      </c>
      <c r="BK14" s="13" t="inlineStr">
        <is>
          <t>tau-bench retail 0.862/airline 0.700 (top multi-turn); benchmark-anchored (AA Index, SWE-bench, GPQA, ARC-AGI-2, Aider, MMMU 2026-06)</t>
        </is>
      </c>
      <c r="BL14" s="13" t="inlineStr">
        <is>
          <t>2026-06-07</t>
        </is>
      </c>
    </row>
    <row r="15">
      <c r="A15" s="13" t="inlineStr">
        <is>
          <t>claude-sonnet-4-6</t>
        </is>
      </c>
      <c r="B15" s="13" t="inlineStr">
        <is>
          <t>Claude Sonnet 4.6</t>
        </is>
      </c>
      <c r="C15" s="13" t="inlineStr">
        <is>
          <t>Anthropic</t>
        </is>
      </c>
      <c r="D15" s="13" t="inlineStr">
        <is>
          <t>Claude 4.x Sonnet</t>
        </is>
      </c>
      <c r="E15" s="13" t="inlineStr">
        <is>
          <t>4.6</t>
        </is>
      </c>
      <c r="F15" s="13" t="inlineStr">
        <is>
          <t>Current</t>
        </is>
      </c>
      <c r="G15" s="13" t="inlineStr">
        <is>
          <t>Workhorse</t>
        </is>
      </c>
      <c r="H15" s="13" t="inlineStr">
        <is>
          <t>Claude Code CLI</t>
        </is>
      </c>
      <c r="I15" s="13" t="inlineStr">
        <is>
          <t>CLI</t>
        </is>
      </c>
      <c r="J15" s="13" t="inlineStr">
        <is>
          <t>Working</t>
        </is>
      </c>
      <c r="K15" s="13" t="inlineStr">
        <is>
          <t>subscription_included</t>
        </is>
      </c>
      <c r="L15" s="13" t="inlineStr">
        <is>
          <t>No</t>
        </is>
      </c>
      <c r="M15" s="13" t="n">
        <v>8.6</v>
      </c>
      <c r="N15" s="13" t="n">
        <v>8.4</v>
      </c>
      <c r="O15" s="13" t="n">
        <v>8.699999999999999</v>
      </c>
      <c r="P15" s="13" t="n">
        <v>8.4</v>
      </c>
      <c r="Q15" s="13">
        <f>IFERROR(ROUND(AVERAGE(M15:P15),1),"")</f>
        <v/>
      </c>
      <c r="R15" s="13" t="n">
        <v>8.6</v>
      </c>
      <c r="S15" s="13" t="n">
        <v>8.4</v>
      </c>
      <c r="T15" s="13" t="n">
        <v>8.5</v>
      </c>
      <c r="U15" s="13" t="n">
        <v>8.6</v>
      </c>
      <c r="V15" s="13">
        <f>IFERROR(ROUND(AVERAGE(R15:U15),1),"")</f>
        <v/>
      </c>
      <c r="W15" s="13" t="n">
        <v>9</v>
      </c>
      <c r="X15" s="13" t="n">
        <v>8.9</v>
      </c>
      <c r="Y15" s="13" t="n">
        <v>8.4</v>
      </c>
      <c r="Z15" s="13" t="n">
        <v>8.800000000000001</v>
      </c>
      <c r="AA15" s="13">
        <f>IFERROR(ROUND(AVERAGE(W15:Z15),1),"")</f>
        <v/>
      </c>
      <c r="AB15" s="13" t="n">
        <v>8.800000000000001</v>
      </c>
      <c r="AC15" s="13" t="n">
        <v>8.9</v>
      </c>
      <c r="AD15" s="13" t="n">
        <v>8.800000000000001</v>
      </c>
      <c r="AE15" s="13" t="n">
        <v>8.4</v>
      </c>
      <c r="AF15" s="13">
        <f>IFERROR(ROUND(AVERAGE(AB15:AE15),1),"")</f>
        <v/>
      </c>
      <c r="AG15" s="13" t="n">
        <v>8.199999999999999</v>
      </c>
      <c r="AH15" s="13" t="n">
        <v>7.3</v>
      </c>
      <c r="AI15" s="13" t="n">
        <v>8.6</v>
      </c>
      <c r="AJ15" s="13" t="n">
        <v>8.300000000000001</v>
      </c>
      <c r="AK15" s="13">
        <f>IFERROR(ROUND(AVERAGE(AG15:AJ15),1),"")</f>
        <v/>
      </c>
      <c r="AL15" s="13" t="n">
        <v>8.300000000000001</v>
      </c>
      <c r="AM15" s="13" t="n">
        <v>8.300000000000001</v>
      </c>
      <c r="AN15" s="13" t="inlineStr"/>
      <c r="AO15" s="13">
        <f>IFERROR(ROUND(AVERAGE(AL15:AN15),1),"")</f>
        <v/>
      </c>
      <c r="AP15" s="13" t="n">
        <v>7.2</v>
      </c>
      <c r="AQ15" s="13" t="n">
        <v>7.2</v>
      </c>
      <c r="AR15" s="13" t="n">
        <v>10</v>
      </c>
      <c r="AS15" s="13" t="n">
        <v>7</v>
      </c>
      <c r="AT15" s="13">
        <f>IFERROR(ROUND(AVERAGE(AP15:AS15),1),"")</f>
        <v/>
      </c>
      <c r="AU15" s="13" t="n">
        <v>8.300000000000001</v>
      </c>
      <c r="AV15" s="13" t="n">
        <v>8.4</v>
      </c>
      <c r="AW15" s="13" t="n">
        <v>8.9</v>
      </c>
      <c r="AX15" s="13" t="n">
        <v>8.300000000000001</v>
      </c>
      <c r="AY15" s="13">
        <f>IFERROR(ROUND(AVERAGE(AU15:AX15),1),"")</f>
        <v/>
      </c>
      <c r="AZ15" s="13">
        <f>ROUND(0.19*N(Q15)+0.17*N(V15)+0.17*N(AA15)+0.1*N(AF15)+0.09*N(AK15)+0.12*N(AT15)+0.16*N(AY15),1)</f>
        <v/>
      </c>
      <c r="BA15" s="13" t="inlineStr">
        <is>
          <t>1M</t>
        </is>
      </c>
      <c r="BB15" s="13" t="n">
        <v>64000</v>
      </c>
      <c r="BC15" s="13" t="n">
        <v>3</v>
      </c>
      <c r="BD15" s="13" t="n">
        <v>15</v>
      </c>
      <c r="BE15" s="13" t="inlineStr">
        <is>
          <t>critical</t>
        </is>
      </c>
      <c r="BF15" s="13" t="n">
        <v>5</v>
      </c>
      <c r="BG15" s="13" t="n">
        <v>4</v>
      </c>
      <c r="BH15" s="13" t="inlineStr">
        <is>
          <t>Best balance: daily agentic coding, tool workflows, drafting</t>
        </is>
      </c>
      <c r="BI15" s="13" t="inlineStr">
        <is>
          <t>Frontier-hardest math/abstract reasoning</t>
        </is>
      </c>
      <c r="BJ15" s="14" t="inlineStr">
        <is>
          <t>H</t>
        </is>
      </c>
      <c r="BK15" s="13" t="inlineStr">
        <is>
          <t>tau-bench retail 0.862/airline 0.700 (top multi-turn); benchmark-anchored (AA Index, SWE-bench, GPQA, ARC-AGI-2, Aider, MMMU 2026-06)</t>
        </is>
      </c>
      <c r="BL15" s="13" t="inlineStr">
        <is>
          <t>2026-06-07</t>
        </is>
      </c>
    </row>
    <row r="16">
      <c r="A16" s="13" t="inlineStr">
        <is>
          <t>claude-sonnet-4-6</t>
        </is>
      </c>
      <c r="B16" s="13" t="inlineStr">
        <is>
          <t>Claude Sonnet 4.6</t>
        </is>
      </c>
      <c r="C16" s="13" t="inlineStr">
        <is>
          <t>Anthropic</t>
        </is>
      </c>
      <c r="D16" s="13" t="inlineStr">
        <is>
          <t>Claude 4.x Sonnet</t>
        </is>
      </c>
      <c r="E16" s="13" t="inlineStr">
        <is>
          <t>4.6</t>
        </is>
      </c>
      <c r="F16" s="13" t="inlineStr">
        <is>
          <t>Current</t>
        </is>
      </c>
      <c r="G16" s="13" t="inlineStr">
        <is>
          <t>Workhorse</t>
        </is>
      </c>
      <c r="H16" s="13" t="inlineStr">
        <is>
          <t>Google Antigravity</t>
        </is>
      </c>
      <c r="I16" s="13" t="inlineStr">
        <is>
          <t>IDE app</t>
        </is>
      </c>
      <c r="J16" s="13" t="inlineStr">
        <is>
          <t>Installed</t>
        </is>
      </c>
      <c r="K16" s="13" t="inlineStr">
        <is>
          <t>subscription_included</t>
        </is>
      </c>
      <c r="L16" s="13" t="inlineStr">
        <is>
          <t>No</t>
        </is>
      </c>
      <c r="M16" s="13" t="n">
        <v>8.6</v>
      </c>
      <c r="N16" s="13" t="n">
        <v>8.4</v>
      </c>
      <c r="O16" s="13" t="n">
        <v>8.699999999999999</v>
      </c>
      <c r="P16" s="13" t="n">
        <v>8.4</v>
      </c>
      <c r="Q16" s="13">
        <f>IFERROR(ROUND(AVERAGE(M16:P16),1),"")</f>
        <v/>
      </c>
      <c r="R16" s="13" t="n">
        <v>8.6</v>
      </c>
      <c r="S16" s="13" t="n">
        <v>8.4</v>
      </c>
      <c r="T16" s="13" t="n">
        <v>8.5</v>
      </c>
      <c r="U16" s="13" t="n">
        <v>8.6</v>
      </c>
      <c r="V16" s="13">
        <f>IFERROR(ROUND(AVERAGE(R16:U16),1),"")</f>
        <v/>
      </c>
      <c r="W16" s="13" t="n">
        <v>9</v>
      </c>
      <c r="X16" s="13" t="n">
        <v>8.9</v>
      </c>
      <c r="Y16" s="13" t="n">
        <v>8.4</v>
      </c>
      <c r="Z16" s="13" t="n">
        <v>8.800000000000001</v>
      </c>
      <c r="AA16" s="13">
        <f>IFERROR(ROUND(AVERAGE(W16:Z16),1),"")</f>
        <v/>
      </c>
      <c r="AB16" s="13" t="n">
        <v>8.800000000000001</v>
      </c>
      <c r="AC16" s="13" t="n">
        <v>8.9</v>
      </c>
      <c r="AD16" s="13" t="n">
        <v>8.800000000000001</v>
      </c>
      <c r="AE16" s="13" t="n">
        <v>8.4</v>
      </c>
      <c r="AF16" s="13">
        <f>IFERROR(ROUND(AVERAGE(AB16:AE16),1),"")</f>
        <v/>
      </c>
      <c r="AG16" s="13" t="n">
        <v>8.199999999999999</v>
      </c>
      <c r="AH16" s="13" t="n">
        <v>7.3</v>
      </c>
      <c r="AI16" s="13" t="n">
        <v>8.6</v>
      </c>
      <c r="AJ16" s="13" t="n">
        <v>8.300000000000001</v>
      </c>
      <c r="AK16" s="13">
        <f>IFERROR(ROUND(AVERAGE(AG16:AJ16),1),"")</f>
        <v/>
      </c>
      <c r="AL16" s="13" t="n">
        <v>8.300000000000001</v>
      </c>
      <c r="AM16" s="13" t="n">
        <v>8.300000000000001</v>
      </c>
      <c r="AN16" s="13" t="inlineStr"/>
      <c r="AO16" s="13">
        <f>IFERROR(ROUND(AVERAGE(AL16:AN16),1),"")</f>
        <v/>
      </c>
      <c r="AP16" s="13" t="n">
        <v>7.2</v>
      </c>
      <c r="AQ16" s="13" t="n">
        <v>7.2</v>
      </c>
      <c r="AR16" s="13" t="n">
        <v>10</v>
      </c>
      <c r="AS16" s="13" t="n">
        <v>7</v>
      </c>
      <c r="AT16" s="13">
        <f>IFERROR(ROUND(AVERAGE(AP16:AS16),1),"")</f>
        <v/>
      </c>
      <c r="AU16" s="13" t="n">
        <v>8.300000000000001</v>
      </c>
      <c r="AV16" s="13" t="n">
        <v>8.4</v>
      </c>
      <c r="AW16" s="13" t="n">
        <v>8.9</v>
      </c>
      <c r="AX16" s="13" t="n">
        <v>8.300000000000001</v>
      </c>
      <c r="AY16" s="13">
        <f>IFERROR(ROUND(AVERAGE(AU16:AX16),1),"")</f>
        <v/>
      </c>
      <c r="AZ16" s="13">
        <f>ROUND(0.19*N(Q16)+0.17*N(V16)+0.17*N(AA16)+0.1*N(AF16)+0.09*N(AK16)+0.12*N(AT16)+0.16*N(AY16),1)</f>
        <v/>
      </c>
      <c r="BA16" s="13" t="inlineStr">
        <is>
          <t>1M</t>
        </is>
      </c>
      <c r="BB16" s="13" t="n">
        <v>64000</v>
      </c>
      <c r="BC16" s="13" t="n">
        <v>3</v>
      </c>
      <c r="BD16" s="13" t="n">
        <v>15</v>
      </c>
      <c r="BE16" s="13" t="inlineStr">
        <is>
          <t>critical</t>
        </is>
      </c>
      <c r="BF16" s="13" t="n">
        <v>5</v>
      </c>
      <c r="BG16" s="13" t="n">
        <v>4</v>
      </c>
      <c r="BH16" s="13" t="inlineStr">
        <is>
          <t>Best balance: daily agentic coding, tool workflows, drafting</t>
        </is>
      </c>
      <c r="BI16" s="13" t="inlineStr">
        <is>
          <t>Frontier-hardest math/abstract reasoning</t>
        </is>
      </c>
      <c r="BJ16" s="14" t="inlineStr">
        <is>
          <t>H</t>
        </is>
      </c>
      <c r="BK16" s="13" t="inlineStr">
        <is>
          <t>tau-bench retail 0.862/airline 0.700 (top multi-turn); benchmark-anchored (AA Index, SWE-bench, GPQA, ARC-AGI-2, Aider, MMMU 2026-06)</t>
        </is>
      </c>
      <c r="BL16" s="13" t="inlineStr">
        <is>
          <t>2026-06-07</t>
        </is>
      </c>
    </row>
    <row r="17">
      <c r="A17" s="13" t="inlineStr">
        <is>
          <t>claude-sonnet-4-6</t>
        </is>
      </c>
      <c r="B17" s="13" t="inlineStr">
        <is>
          <t>Claude Sonnet 4.6</t>
        </is>
      </c>
      <c r="C17" s="13" t="inlineStr">
        <is>
          <t>Anthropic</t>
        </is>
      </c>
      <c r="D17" s="13" t="inlineStr">
        <is>
          <t>Claude 4.x Sonnet</t>
        </is>
      </c>
      <c r="E17" s="13" t="inlineStr">
        <is>
          <t>4.6</t>
        </is>
      </c>
      <c r="F17" s="13" t="inlineStr">
        <is>
          <t>Current</t>
        </is>
      </c>
      <c r="G17" s="13" t="inlineStr">
        <is>
          <t>Workhorse</t>
        </is>
      </c>
      <c r="H17" s="13" t="inlineStr">
        <is>
          <t>Amazon Bedrock (Kiro)</t>
        </is>
      </c>
      <c r="I17" s="13" t="inlineStr">
        <is>
          <t>Aggregator</t>
        </is>
      </c>
      <c r="J17" s="13" t="inlineStr">
        <is>
          <t>Installed; login unverified</t>
        </is>
      </c>
      <c r="K17" s="13" t="inlineStr">
        <is>
          <t>metered (not configured)</t>
        </is>
      </c>
      <c r="L17" s="13" t="inlineStr">
        <is>
          <t>No</t>
        </is>
      </c>
      <c r="M17" s="13" t="n">
        <v>8.6</v>
      </c>
      <c r="N17" s="13" t="n">
        <v>8.4</v>
      </c>
      <c r="O17" s="13" t="n">
        <v>8.699999999999999</v>
      </c>
      <c r="P17" s="13" t="n">
        <v>8.4</v>
      </c>
      <c r="Q17" s="13">
        <f>IFERROR(ROUND(AVERAGE(M17:P17),1),"")</f>
        <v/>
      </c>
      <c r="R17" s="13" t="n">
        <v>8.6</v>
      </c>
      <c r="S17" s="13" t="n">
        <v>8.4</v>
      </c>
      <c r="T17" s="13" t="n">
        <v>8.5</v>
      </c>
      <c r="U17" s="13" t="n">
        <v>8.6</v>
      </c>
      <c r="V17" s="13">
        <f>IFERROR(ROUND(AVERAGE(R17:U17),1),"")</f>
        <v/>
      </c>
      <c r="W17" s="13" t="n">
        <v>9</v>
      </c>
      <c r="X17" s="13" t="n">
        <v>8.9</v>
      </c>
      <c r="Y17" s="13" t="n">
        <v>8.4</v>
      </c>
      <c r="Z17" s="13" t="n">
        <v>8.800000000000001</v>
      </c>
      <c r="AA17" s="13">
        <f>IFERROR(ROUND(AVERAGE(W17:Z17),1),"")</f>
        <v/>
      </c>
      <c r="AB17" s="13" t="n">
        <v>8.800000000000001</v>
      </c>
      <c r="AC17" s="13" t="n">
        <v>8.9</v>
      </c>
      <c r="AD17" s="13" t="n">
        <v>8.800000000000001</v>
      </c>
      <c r="AE17" s="13" t="n">
        <v>8.4</v>
      </c>
      <c r="AF17" s="13">
        <f>IFERROR(ROUND(AVERAGE(AB17:AE17),1),"")</f>
        <v/>
      </c>
      <c r="AG17" s="13" t="n">
        <v>8.199999999999999</v>
      </c>
      <c r="AH17" s="13" t="n">
        <v>7.3</v>
      </c>
      <c r="AI17" s="13" t="n">
        <v>8.6</v>
      </c>
      <c r="AJ17" s="13" t="n">
        <v>8.300000000000001</v>
      </c>
      <c r="AK17" s="13">
        <f>IFERROR(ROUND(AVERAGE(AG17:AJ17),1),"")</f>
        <v/>
      </c>
      <c r="AL17" s="13" t="n">
        <v>8.300000000000001</v>
      </c>
      <c r="AM17" s="13" t="n">
        <v>8.300000000000001</v>
      </c>
      <c r="AN17" s="13" t="inlineStr"/>
      <c r="AO17" s="13">
        <f>IFERROR(ROUND(AVERAGE(AL17:AN17),1),"")</f>
        <v/>
      </c>
      <c r="AP17" s="13" t="n">
        <v>7.2</v>
      </c>
      <c r="AQ17" s="13" t="n">
        <v>7.2</v>
      </c>
      <c r="AR17" s="13" t="n">
        <v>10</v>
      </c>
      <c r="AS17" s="13" t="n">
        <v>7</v>
      </c>
      <c r="AT17" s="13">
        <f>IFERROR(ROUND(AVERAGE(AP17:AS17),1),"")</f>
        <v/>
      </c>
      <c r="AU17" s="13" t="n">
        <v>8.300000000000001</v>
      </c>
      <c r="AV17" s="13" t="n">
        <v>8.4</v>
      </c>
      <c r="AW17" s="13" t="n">
        <v>8.9</v>
      </c>
      <c r="AX17" s="13" t="n">
        <v>8.300000000000001</v>
      </c>
      <c r="AY17" s="13">
        <f>IFERROR(ROUND(AVERAGE(AU17:AX17),1),"")</f>
        <v/>
      </c>
      <c r="AZ17" s="13">
        <f>ROUND(0.19*N(Q17)+0.17*N(V17)+0.17*N(AA17)+0.1*N(AF17)+0.09*N(AK17)+0.12*N(AT17)+0.16*N(AY17),1)</f>
        <v/>
      </c>
      <c r="BA17" s="13" t="inlineStr">
        <is>
          <t>1M</t>
        </is>
      </c>
      <c r="BB17" s="13" t="n">
        <v>64000</v>
      </c>
      <c r="BC17" s="13" t="n">
        <v>3</v>
      </c>
      <c r="BD17" s="13" t="n">
        <v>15</v>
      </c>
      <c r="BE17" s="13" t="inlineStr">
        <is>
          <t>critical</t>
        </is>
      </c>
      <c r="BF17" s="13" t="n">
        <v>5</v>
      </c>
      <c r="BG17" s="13" t="n">
        <v>4</v>
      </c>
      <c r="BH17" s="13" t="inlineStr">
        <is>
          <t>Best balance: daily agentic coding, tool workflows, drafting</t>
        </is>
      </c>
      <c r="BI17" s="13" t="inlineStr">
        <is>
          <t>Frontier-hardest math/abstract reasoning</t>
        </is>
      </c>
      <c r="BJ17" s="14" t="inlineStr">
        <is>
          <t>H</t>
        </is>
      </c>
      <c r="BK17" s="13" t="inlineStr">
        <is>
          <t>tau-bench retail 0.862/airline 0.700 (top multi-turn); benchmark-anchored (AA Index, SWE-bench, GPQA, ARC-AGI-2, Aider, MMMU 2026-06)</t>
        </is>
      </c>
      <c r="BL17" s="13" t="inlineStr">
        <is>
          <t>2026-06-07</t>
        </is>
      </c>
    </row>
    <row r="18">
      <c r="A18" s="13" t="inlineStr">
        <is>
          <t>claude-haiku-4-5-20251001</t>
        </is>
      </c>
      <c r="B18" s="13" t="inlineStr">
        <is>
          <t>Claude Haiku 4.5</t>
        </is>
      </c>
      <c r="C18" s="13" t="inlineStr">
        <is>
          <t>Anthropic</t>
        </is>
      </c>
      <c r="D18" s="13" t="inlineStr">
        <is>
          <t>Claude 4.x Haiku</t>
        </is>
      </c>
      <c r="E18" s="13" t="inlineStr">
        <is>
          <t>4.5</t>
        </is>
      </c>
      <c r="F18" s="13" t="inlineStr">
        <is>
          <t>Current</t>
        </is>
      </c>
      <c r="G18" s="13" t="inlineStr">
        <is>
          <t>Fast-Cheap</t>
        </is>
      </c>
      <c r="H18" s="13" t="inlineStr">
        <is>
          <t>Anthropic API</t>
        </is>
      </c>
      <c r="I18" s="13" t="inlineStr">
        <is>
          <t>HTTP API</t>
        </is>
      </c>
      <c r="J18" s="13" t="inlineStr">
        <is>
          <t>Working (Claude plan)</t>
        </is>
      </c>
      <c r="K18" s="13" t="inlineStr">
        <is>
          <t>subscription_included</t>
        </is>
      </c>
      <c r="L18" s="13" t="inlineStr">
        <is>
          <t>No</t>
        </is>
      </c>
      <c r="M18" s="13" t="n">
        <v>7.4</v>
      </c>
      <c r="N18" s="13" t="n">
        <v>7</v>
      </c>
      <c r="O18" s="13" t="n">
        <v>7</v>
      </c>
      <c r="P18" s="13" t="n">
        <v>7.2</v>
      </c>
      <c r="Q18" s="13">
        <f>IFERROR(ROUND(AVERAGE(M18:P18),1),"")</f>
        <v/>
      </c>
      <c r="R18" s="13" t="n">
        <v>7.6</v>
      </c>
      <c r="S18" s="13" t="n">
        <v>7.2</v>
      </c>
      <c r="T18" s="13" t="n">
        <v>7</v>
      </c>
      <c r="U18" s="13" t="n">
        <v>7.4</v>
      </c>
      <c r="V18" s="13">
        <f>IFERROR(ROUND(AVERAGE(R18:U18),1),"")</f>
        <v/>
      </c>
      <c r="W18" s="13" t="n">
        <v>7.8</v>
      </c>
      <c r="X18" s="13" t="n">
        <v>7.4</v>
      </c>
      <c r="Y18" s="13" t="n">
        <v>6.8</v>
      </c>
      <c r="Z18" s="13" t="n">
        <v>7.8</v>
      </c>
      <c r="AA18" s="13">
        <f>IFERROR(ROUND(AVERAGE(W18:Z18),1),"")</f>
        <v/>
      </c>
      <c r="AB18" s="13" t="n">
        <v>7.6</v>
      </c>
      <c r="AC18" s="13" t="n">
        <v>7.6</v>
      </c>
      <c r="AD18" s="13" t="n">
        <v>7.8</v>
      </c>
      <c r="AE18" s="13" t="n">
        <v>7.4</v>
      </c>
      <c r="AF18" s="13">
        <f>IFERROR(ROUND(AVERAGE(AB18:AE18),1),"")</f>
        <v/>
      </c>
      <c r="AG18" s="13" t="n">
        <v>7</v>
      </c>
      <c r="AH18" s="13" t="n">
        <v>6.2</v>
      </c>
      <c r="AI18" s="13" t="n">
        <v>7.6</v>
      </c>
      <c r="AJ18" s="13" t="n">
        <v>7</v>
      </c>
      <c r="AK18" s="13">
        <f>IFERROR(ROUND(AVERAGE(AG18:AJ18),1),"")</f>
        <v/>
      </c>
      <c r="AL18" s="13" t="n">
        <v>7.2</v>
      </c>
      <c r="AM18" s="13" t="n">
        <v>7.2</v>
      </c>
      <c r="AN18" s="13" t="inlineStr"/>
      <c r="AO18" s="13">
        <f>IFERROR(ROUND(AVERAGE(AL18:AN18),1),"")</f>
        <v/>
      </c>
      <c r="AP18" s="13" t="n">
        <v>8.800000000000001</v>
      </c>
      <c r="AQ18" s="13" t="n">
        <v>8.800000000000001</v>
      </c>
      <c r="AR18" s="13" t="n">
        <v>8</v>
      </c>
      <c r="AS18" s="13" t="n">
        <v>7.5</v>
      </c>
      <c r="AT18" s="13">
        <f>IFERROR(ROUND(AVERAGE(AP18:AS18),1),"")</f>
        <v/>
      </c>
      <c r="AU18" s="13" t="n">
        <v>7.6</v>
      </c>
      <c r="AV18" s="13" t="n">
        <v>7.8</v>
      </c>
      <c r="AW18" s="13" t="n">
        <v>8.6</v>
      </c>
      <c r="AX18" s="13" t="n">
        <v>7.6</v>
      </c>
      <c r="AY18" s="13">
        <f>IFERROR(ROUND(AVERAGE(AU18:AX18),1),"")</f>
        <v/>
      </c>
      <c r="AZ18" s="13">
        <f>ROUND(0.19*N(Q18)+0.17*N(V18)+0.17*N(AA18)+0.1*N(AF18)+0.09*N(AK18)+0.12*N(AT18)+0.16*N(AY18),1)</f>
        <v/>
      </c>
      <c r="BA18" s="13" t="inlineStr">
        <is>
          <t>200K</t>
        </is>
      </c>
      <c r="BB18" s="13" t="n">
        <v>32000</v>
      </c>
      <c r="BC18" s="13" t="n">
        <v>1</v>
      </c>
      <c r="BD18" s="13" t="n">
        <v>5</v>
      </c>
      <c r="BE18" s="13" t="inlineStr">
        <is>
          <t>high</t>
        </is>
      </c>
      <c r="BF18" s="13" t="n">
        <v>4</v>
      </c>
      <c r="BG18" s="13" t="n">
        <v>4</v>
      </c>
      <c r="BH18" s="13" t="inlineStr">
        <is>
          <t>Fast classification, routing, high-volume drafting, Copilot default</t>
        </is>
      </c>
      <c r="BI18" s="13" t="inlineStr">
        <is>
          <t>Deep multi-step reasoning; long-horizon autonomy</t>
        </is>
      </c>
      <c r="BJ18" s="14" t="inlineStr">
        <is>
          <t>H</t>
        </is>
      </c>
      <c r="BK18" s="13" t="inlineStr">
        <is>
          <t>AA-class fast tier; default Copilot model; benchmark-anchored (AA Index, SWE-bench, GPQA, ARC-AGI-2, Aider, MMMU 2026-06)</t>
        </is>
      </c>
      <c r="BL18" s="13" t="inlineStr">
        <is>
          <t>2026-06-07</t>
        </is>
      </c>
    </row>
    <row r="19">
      <c r="A19" s="13" t="inlineStr">
        <is>
          <t>claude-haiku-4-5-20251001</t>
        </is>
      </c>
      <c r="B19" s="13" t="inlineStr">
        <is>
          <t>Claude Haiku 4.5</t>
        </is>
      </c>
      <c r="C19" s="13" t="inlineStr">
        <is>
          <t>Anthropic</t>
        </is>
      </c>
      <c r="D19" s="13" t="inlineStr">
        <is>
          <t>Claude 4.x Haiku</t>
        </is>
      </c>
      <c r="E19" s="13" t="inlineStr">
        <is>
          <t>4.5</t>
        </is>
      </c>
      <c r="F19" s="13" t="inlineStr">
        <is>
          <t>Current</t>
        </is>
      </c>
      <c r="G19" s="13" t="inlineStr">
        <is>
          <t>Fast-Cheap</t>
        </is>
      </c>
      <c r="H19" s="13" t="inlineStr">
        <is>
          <t>Claude Code CLI</t>
        </is>
      </c>
      <c r="I19" s="13" t="inlineStr">
        <is>
          <t>CLI</t>
        </is>
      </c>
      <c r="J19" s="13" t="inlineStr">
        <is>
          <t>Working</t>
        </is>
      </c>
      <c r="K19" s="13" t="inlineStr">
        <is>
          <t>subscription_included</t>
        </is>
      </c>
      <c r="L19" s="13" t="inlineStr">
        <is>
          <t>No</t>
        </is>
      </c>
      <c r="M19" s="13" t="n">
        <v>7.4</v>
      </c>
      <c r="N19" s="13" t="n">
        <v>7</v>
      </c>
      <c r="O19" s="13" t="n">
        <v>7</v>
      </c>
      <c r="P19" s="13" t="n">
        <v>7.2</v>
      </c>
      <c r="Q19" s="13">
        <f>IFERROR(ROUND(AVERAGE(M19:P19),1),"")</f>
        <v/>
      </c>
      <c r="R19" s="13" t="n">
        <v>7.6</v>
      </c>
      <c r="S19" s="13" t="n">
        <v>7.2</v>
      </c>
      <c r="T19" s="13" t="n">
        <v>7</v>
      </c>
      <c r="U19" s="13" t="n">
        <v>7.4</v>
      </c>
      <c r="V19" s="13">
        <f>IFERROR(ROUND(AVERAGE(R19:U19),1),"")</f>
        <v/>
      </c>
      <c r="W19" s="13" t="n">
        <v>7.8</v>
      </c>
      <c r="X19" s="13" t="n">
        <v>7.4</v>
      </c>
      <c r="Y19" s="13" t="n">
        <v>6.8</v>
      </c>
      <c r="Z19" s="13" t="n">
        <v>7.8</v>
      </c>
      <c r="AA19" s="13">
        <f>IFERROR(ROUND(AVERAGE(W19:Z19),1),"")</f>
        <v/>
      </c>
      <c r="AB19" s="13" t="n">
        <v>7.6</v>
      </c>
      <c r="AC19" s="13" t="n">
        <v>7.6</v>
      </c>
      <c r="AD19" s="13" t="n">
        <v>7.8</v>
      </c>
      <c r="AE19" s="13" t="n">
        <v>7.4</v>
      </c>
      <c r="AF19" s="13">
        <f>IFERROR(ROUND(AVERAGE(AB19:AE19),1),"")</f>
        <v/>
      </c>
      <c r="AG19" s="13" t="n">
        <v>7</v>
      </c>
      <c r="AH19" s="13" t="n">
        <v>6.2</v>
      </c>
      <c r="AI19" s="13" t="n">
        <v>7.6</v>
      </c>
      <c r="AJ19" s="13" t="n">
        <v>7</v>
      </c>
      <c r="AK19" s="13">
        <f>IFERROR(ROUND(AVERAGE(AG19:AJ19),1),"")</f>
        <v/>
      </c>
      <c r="AL19" s="13" t="n">
        <v>7.2</v>
      </c>
      <c r="AM19" s="13" t="n">
        <v>7.2</v>
      </c>
      <c r="AN19" s="13" t="inlineStr"/>
      <c r="AO19" s="13">
        <f>IFERROR(ROUND(AVERAGE(AL19:AN19),1),"")</f>
        <v/>
      </c>
      <c r="AP19" s="13" t="n">
        <v>8.800000000000001</v>
      </c>
      <c r="AQ19" s="13" t="n">
        <v>8.800000000000001</v>
      </c>
      <c r="AR19" s="13" t="n">
        <v>8</v>
      </c>
      <c r="AS19" s="13" t="n">
        <v>7.5</v>
      </c>
      <c r="AT19" s="13">
        <f>IFERROR(ROUND(AVERAGE(AP19:AS19),1),"")</f>
        <v/>
      </c>
      <c r="AU19" s="13" t="n">
        <v>7.6</v>
      </c>
      <c r="AV19" s="13" t="n">
        <v>7.8</v>
      </c>
      <c r="AW19" s="13" t="n">
        <v>8.6</v>
      </c>
      <c r="AX19" s="13" t="n">
        <v>7.6</v>
      </c>
      <c r="AY19" s="13">
        <f>IFERROR(ROUND(AVERAGE(AU19:AX19),1),"")</f>
        <v/>
      </c>
      <c r="AZ19" s="13">
        <f>ROUND(0.19*N(Q19)+0.17*N(V19)+0.17*N(AA19)+0.1*N(AF19)+0.09*N(AK19)+0.12*N(AT19)+0.16*N(AY19),1)</f>
        <v/>
      </c>
      <c r="BA19" s="13" t="inlineStr">
        <is>
          <t>200K</t>
        </is>
      </c>
      <c r="BB19" s="13" t="n">
        <v>32000</v>
      </c>
      <c r="BC19" s="13" t="n">
        <v>1</v>
      </c>
      <c r="BD19" s="13" t="n">
        <v>5</v>
      </c>
      <c r="BE19" s="13" t="inlineStr">
        <is>
          <t>high</t>
        </is>
      </c>
      <c r="BF19" s="13" t="n">
        <v>4</v>
      </c>
      <c r="BG19" s="13" t="n">
        <v>4</v>
      </c>
      <c r="BH19" s="13" t="inlineStr">
        <is>
          <t>Fast classification, routing, high-volume drafting, Copilot default</t>
        </is>
      </c>
      <c r="BI19" s="13" t="inlineStr">
        <is>
          <t>Deep multi-step reasoning; long-horizon autonomy</t>
        </is>
      </c>
      <c r="BJ19" s="14" t="inlineStr">
        <is>
          <t>H</t>
        </is>
      </c>
      <c r="BK19" s="13" t="inlineStr">
        <is>
          <t>AA-class fast tier; default Copilot model; benchmark-anchored (AA Index, SWE-bench, GPQA, ARC-AGI-2, Aider, MMMU 2026-06)</t>
        </is>
      </c>
      <c r="BL19" s="13" t="inlineStr">
        <is>
          <t>2026-06-07</t>
        </is>
      </c>
    </row>
    <row r="20">
      <c r="A20" s="13" t="inlineStr">
        <is>
          <t>claude-haiku-4-5-20251001</t>
        </is>
      </c>
      <c r="B20" s="13" t="inlineStr">
        <is>
          <t>Claude Haiku 4.5</t>
        </is>
      </c>
      <c r="C20" s="13" t="inlineStr">
        <is>
          <t>Anthropic</t>
        </is>
      </c>
      <c r="D20" s="13" t="inlineStr">
        <is>
          <t>Claude 4.x Haiku</t>
        </is>
      </c>
      <c r="E20" s="13" t="inlineStr">
        <is>
          <t>4.5</t>
        </is>
      </c>
      <c r="F20" s="13" t="inlineStr">
        <is>
          <t>Current</t>
        </is>
      </c>
      <c r="G20" s="13" t="inlineStr">
        <is>
          <t>Fast-Cheap</t>
        </is>
      </c>
      <c r="H20" s="13" t="inlineStr">
        <is>
          <t>GitHub Copilot CLI</t>
        </is>
      </c>
      <c r="I20" s="13" t="inlineStr">
        <is>
          <t>CLI</t>
        </is>
      </c>
      <c r="J20" s="13" t="inlineStr">
        <is>
          <t>Working (premium req)</t>
        </is>
      </c>
      <c r="K20" s="13" t="inlineStr">
        <is>
          <t>subscription_included</t>
        </is>
      </c>
      <c r="L20" s="13" t="inlineStr">
        <is>
          <t>No</t>
        </is>
      </c>
      <c r="M20" s="13" t="n">
        <v>7.4</v>
      </c>
      <c r="N20" s="13" t="n">
        <v>7</v>
      </c>
      <c r="O20" s="13" t="n">
        <v>7</v>
      </c>
      <c r="P20" s="13" t="n">
        <v>7.2</v>
      </c>
      <c r="Q20" s="13">
        <f>IFERROR(ROUND(AVERAGE(M20:P20),1),"")</f>
        <v/>
      </c>
      <c r="R20" s="13" t="n">
        <v>7.6</v>
      </c>
      <c r="S20" s="13" t="n">
        <v>7.2</v>
      </c>
      <c r="T20" s="13" t="n">
        <v>7</v>
      </c>
      <c r="U20" s="13" t="n">
        <v>7.4</v>
      </c>
      <c r="V20" s="13">
        <f>IFERROR(ROUND(AVERAGE(R20:U20),1),"")</f>
        <v/>
      </c>
      <c r="W20" s="13" t="n">
        <v>7.8</v>
      </c>
      <c r="X20" s="13" t="n">
        <v>7.4</v>
      </c>
      <c r="Y20" s="13" t="n">
        <v>6.8</v>
      </c>
      <c r="Z20" s="13" t="n">
        <v>7.8</v>
      </c>
      <c r="AA20" s="13">
        <f>IFERROR(ROUND(AVERAGE(W20:Z20),1),"")</f>
        <v/>
      </c>
      <c r="AB20" s="13" t="n">
        <v>7.6</v>
      </c>
      <c r="AC20" s="13" t="n">
        <v>7.6</v>
      </c>
      <c r="AD20" s="13" t="n">
        <v>7.8</v>
      </c>
      <c r="AE20" s="13" t="n">
        <v>7.4</v>
      </c>
      <c r="AF20" s="13">
        <f>IFERROR(ROUND(AVERAGE(AB20:AE20),1),"")</f>
        <v/>
      </c>
      <c r="AG20" s="13" t="n">
        <v>7</v>
      </c>
      <c r="AH20" s="13" t="n">
        <v>6.2</v>
      </c>
      <c r="AI20" s="13" t="n">
        <v>7.6</v>
      </c>
      <c r="AJ20" s="13" t="n">
        <v>7</v>
      </c>
      <c r="AK20" s="13">
        <f>IFERROR(ROUND(AVERAGE(AG20:AJ20),1),"")</f>
        <v/>
      </c>
      <c r="AL20" s="13" t="n">
        <v>7.2</v>
      </c>
      <c r="AM20" s="13" t="n">
        <v>7.2</v>
      </c>
      <c r="AN20" s="13" t="inlineStr"/>
      <c r="AO20" s="13">
        <f>IFERROR(ROUND(AVERAGE(AL20:AN20),1),"")</f>
        <v/>
      </c>
      <c r="AP20" s="13" t="n">
        <v>8.800000000000001</v>
      </c>
      <c r="AQ20" s="13" t="n">
        <v>8.800000000000001</v>
      </c>
      <c r="AR20" s="13" t="n">
        <v>8</v>
      </c>
      <c r="AS20" s="13" t="n">
        <v>7.5</v>
      </c>
      <c r="AT20" s="13">
        <f>IFERROR(ROUND(AVERAGE(AP20:AS20),1),"")</f>
        <v/>
      </c>
      <c r="AU20" s="13" t="n">
        <v>7.6</v>
      </c>
      <c r="AV20" s="13" t="n">
        <v>7.8</v>
      </c>
      <c r="AW20" s="13" t="n">
        <v>8.6</v>
      </c>
      <c r="AX20" s="13" t="n">
        <v>7.6</v>
      </c>
      <c r="AY20" s="13">
        <f>IFERROR(ROUND(AVERAGE(AU20:AX20),1),"")</f>
        <v/>
      </c>
      <c r="AZ20" s="13">
        <f>ROUND(0.19*N(Q20)+0.17*N(V20)+0.17*N(AA20)+0.1*N(AF20)+0.09*N(AK20)+0.12*N(AT20)+0.16*N(AY20),1)</f>
        <v/>
      </c>
      <c r="BA20" s="13" t="inlineStr">
        <is>
          <t>200K</t>
        </is>
      </c>
      <c r="BB20" s="13" t="n">
        <v>32000</v>
      </c>
      <c r="BC20" s="13" t="n">
        <v>1</v>
      </c>
      <c r="BD20" s="13" t="n">
        <v>5</v>
      </c>
      <c r="BE20" s="13" t="inlineStr">
        <is>
          <t>high</t>
        </is>
      </c>
      <c r="BF20" s="13" t="n">
        <v>4</v>
      </c>
      <c r="BG20" s="13" t="n">
        <v>4</v>
      </c>
      <c r="BH20" s="13" t="inlineStr">
        <is>
          <t>Fast classification, routing, high-volume drafting, Copilot default</t>
        </is>
      </c>
      <c r="BI20" s="13" t="inlineStr">
        <is>
          <t>Deep multi-step reasoning; long-horizon autonomy</t>
        </is>
      </c>
      <c r="BJ20" s="14" t="inlineStr">
        <is>
          <t>H</t>
        </is>
      </c>
      <c r="BK20" s="13" t="inlineStr">
        <is>
          <t>AA-class fast tier; default Copilot model; benchmark-anchored (AA Index, SWE-bench, GPQA, ARC-AGI-2, Aider, MMMU 2026-06)</t>
        </is>
      </c>
      <c r="BL20" s="13" t="inlineStr">
        <is>
          <t>2026-06-07</t>
        </is>
      </c>
    </row>
    <row r="21">
      <c r="A21" s="13" t="inlineStr">
        <is>
          <t>claude-haiku-4-5-20251001</t>
        </is>
      </c>
      <c r="B21" s="13" t="inlineStr">
        <is>
          <t>Claude Haiku 4.5</t>
        </is>
      </c>
      <c r="C21" s="13" t="inlineStr">
        <is>
          <t>Anthropic</t>
        </is>
      </c>
      <c r="D21" s="13" t="inlineStr">
        <is>
          <t>Claude 4.x Haiku</t>
        </is>
      </c>
      <c r="E21" s="13" t="inlineStr">
        <is>
          <t>4.5</t>
        </is>
      </c>
      <c r="F21" s="13" t="inlineStr">
        <is>
          <t>Current</t>
        </is>
      </c>
      <c r="G21" s="13" t="inlineStr">
        <is>
          <t>Fast-Cheap</t>
        </is>
      </c>
      <c r="H21" s="13" t="inlineStr">
        <is>
          <t>Amazon Bedrock (Kiro)</t>
        </is>
      </c>
      <c r="I21" s="13" t="inlineStr">
        <is>
          <t>Aggregator</t>
        </is>
      </c>
      <c r="J21" s="13" t="inlineStr">
        <is>
          <t>Installed; login unverified</t>
        </is>
      </c>
      <c r="K21" s="13" t="inlineStr">
        <is>
          <t>metered (not configured)</t>
        </is>
      </c>
      <c r="L21" s="13" t="inlineStr">
        <is>
          <t>No</t>
        </is>
      </c>
      <c r="M21" s="13" t="n">
        <v>7.4</v>
      </c>
      <c r="N21" s="13" t="n">
        <v>7</v>
      </c>
      <c r="O21" s="13" t="n">
        <v>7</v>
      </c>
      <c r="P21" s="13" t="n">
        <v>7.2</v>
      </c>
      <c r="Q21" s="13">
        <f>IFERROR(ROUND(AVERAGE(M21:P21),1),"")</f>
        <v/>
      </c>
      <c r="R21" s="13" t="n">
        <v>7.6</v>
      </c>
      <c r="S21" s="13" t="n">
        <v>7.2</v>
      </c>
      <c r="T21" s="13" t="n">
        <v>7</v>
      </c>
      <c r="U21" s="13" t="n">
        <v>7.4</v>
      </c>
      <c r="V21" s="13">
        <f>IFERROR(ROUND(AVERAGE(R21:U21),1),"")</f>
        <v/>
      </c>
      <c r="W21" s="13" t="n">
        <v>7.8</v>
      </c>
      <c r="X21" s="13" t="n">
        <v>7.4</v>
      </c>
      <c r="Y21" s="13" t="n">
        <v>6.8</v>
      </c>
      <c r="Z21" s="13" t="n">
        <v>7.8</v>
      </c>
      <c r="AA21" s="13">
        <f>IFERROR(ROUND(AVERAGE(W21:Z21),1),"")</f>
        <v/>
      </c>
      <c r="AB21" s="13" t="n">
        <v>7.6</v>
      </c>
      <c r="AC21" s="13" t="n">
        <v>7.6</v>
      </c>
      <c r="AD21" s="13" t="n">
        <v>7.8</v>
      </c>
      <c r="AE21" s="13" t="n">
        <v>7.4</v>
      </c>
      <c r="AF21" s="13">
        <f>IFERROR(ROUND(AVERAGE(AB21:AE21),1),"")</f>
        <v/>
      </c>
      <c r="AG21" s="13" t="n">
        <v>7</v>
      </c>
      <c r="AH21" s="13" t="n">
        <v>6.2</v>
      </c>
      <c r="AI21" s="13" t="n">
        <v>7.6</v>
      </c>
      <c r="AJ21" s="13" t="n">
        <v>7</v>
      </c>
      <c r="AK21" s="13">
        <f>IFERROR(ROUND(AVERAGE(AG21:AJ21),1),"")</f>
        <v/>
      </c>
      <c r="AL21" s="13" t="n">
        <v>7.2</v>
      </c>
      <c r="AM21" s="13" t="n">
        <v>7.2</v>
      </c>
      <c r="AN21" s="13" t="inlineStr"/>
      <c r="AO21" s="13">
        <f>IFERROR(ROUND(AVERAGE(AL21:AN21),1),"")</f>
        <v/>
      </c>
      <c r="AP21" s="13" t="n">
        <v>8.800000000000001</v>
      </c>
      <c r="AQ21" s="13" t="n">
        <v>8.800000000000001</v>
      </c>
      <c r="AR21" s="13" t="n">
        <v>8</v>
      </c>
      <c r="AS21" s="13" t="n">
        <v>7.5</v>
      </c>
      <c r="AT21" s="13">
        <f>IFERROR(ROUND(AVERAGE(AP21:AS21),1),"")</f>
        <v/>
      </c>
      <c r="AU21" s="13" t="n">
        <v>7.6</v>
      </c>
      <c r="AV21" s="13" t="n">
        <v>7.8</v>
      </c>
      <c r="AW21" s="13" t="n">
        <v>8.6</v>
      </c>
      <c r="AX21" s="13" t="n">
        <v>7.6</v>
      </c>
      <c r="AY21" s="13">
        <f>IFERROR(ROUND(AVERAGE(AU21:AX21),1),"")</f>
        <v/>
      </c>
      <c r="AZ21" s="13">
        <f>ROUND(0.19*N(Q21)+0.17*N(V21)+0.17*N(AA21)+0.1*N(AF21)+0.09*N(AK21)+0.12*N(AT21)+0.16*N(AY21),1)</f>
        <v/>
      </c>
      <c r="BA21" s="13" t="inlineStr">
        <is>
          <t>200K</t>
        </is>
      </c>
      <c r="BB21" s="13" t="n">
        <v>32000</v>
      </c>
      <c r="BC21" s="13" t="n">
        <v>1</v>
      </c>
      <c r="BD21" s="13" t="n">
        <v>5</v>
      </c>
      <c r="BE21" s="13" t="inlineStr">
        <is>
          <t>high</t>
        </is>
      </c>
      <c r="BF21" s="13" t="n">
        <v>4</v>
      </c>
      <c r="BG21" s="13" t="n">
        <v>4</v>
      </c>
      <c r="BH21" s="13" t="inlineStr">
        <is>
          <t>Fast classification, routing, high-volume drafting, Copilot default</t>
        </is>
      </c>
      <c r="BI21" s="13" t="inlineStr">
        <is>
          <t>Deep multi-step reasoning; long-horizon autonomy</t>
        </is>
      </c>
      <c r="BJ21" s="14" t="inlineStr">
        <is>
          <t>H</t>
        </is>
      </c>
      <c r="BK21" s="13" t="inlineStr">
        <is>
          <t>AA-class fast tier; default Copilot model; benchmark-anchored (AA Index, SWE-bench, GPQA, ARC-AGI-2, Aider, MMMU 2026-06)</t>
        </is>
      </c>
      <c r="BL21" s="13" t="inlineStr">
        <is>
          <t>2026-06-07</t>
        </is>
      </c>
    </row>
    <row r="22">
      <c r="A22" s="13" t="inlineStr">
        <is>
          <t>claude-mythos-preview</t>
        </is>
      </c>
      <c r="B22" s="13" t="inlineStr">
        <is>
          <t>Claude Mythos Preview</t>
        </is>
      </c>
      <c r="C22" s="13" t="inlineStr">
        <is>
          <t>Anthropic</t>
        </is>
      </c>
      <c r="D22" s="13" t="inlineStr">
        <is>
          <t>Claude (specialized)</t>
        </is>
      </c>
      <c r="E22" s="13" t="inlineStr">
        <is>
          <t>preview</t>
        </is>
      </c>
      <c r="F22" s="13" t="inlineStr">
        <is>
          <t>Preview (invite-only)</t>
        </is>
      </c>
      <c r="G22" s="13" t="inlineStr">
        <is>
          <t>Coder/Security Specialist</t>
        </is>
      </c>
      <c r="H22" s="13" t="inlineStr">
        <is>
          <t>Anthropic API</t>
        </is>
      </c>
      <c r="I22" s="13" t="inlineStr">
        <is>
          <t>HTTP API</t>
        </is>
      </c>
      <c r="J22" s="13" t="inlineStr">
        <is>
          <t>Working (Claude plan)</t>
        </is>
      </c>
      <c r="K22" s="13" t="inlineStr">
        <is>
          <t>subscription_included</t>
        </is>
      </c>
      <c r="L22" s="13" t="inlineStr">
        <is>
          <t>No</t>
        </is>
      </c>
      <c r="M22" s="13" t="n">
        <v>9.199999999999999</v>
      </c>
      <c r="N22" s="13" t="n">
        <v>8.800000000000001</v>
      </c>
      <c r="O22" s="13" t="n">
        <v>9</v>
      </c>
      <c r="P22" s="13" t="n">
        <v>8.6</v>
      </c>
      <c r="Q22" s="13">
        <f>IFERROR(ROUND(AVERAGE(M22:P22),1),"")</f>
        <v/>
      </c>
      <c r="R22" s="13" t="n">
        <v>9.300000000000001</v>
      </c>
      <c r="S22" s="13" t="n">
        <v>9.4</v>
      </c>
      <c r="T22" s="13" t="n">
        <v>9</v>
      </c>
      <c r="U22" s="13" t="n">
        <v>9.300000000000001</v>
      </c>
      <c r="V22" s="13">
        <f>IFERROR(ROUND(AVERAGE(R22:U22),1),"")</f>
        <v/>
      </c>
      <c r="W22" s="13" t="n">
        <v>9.199999999999999</v>
      </c>
      <c r="X22" s="13" t="n">
        <v>9.199999999999999</v>
      </c>
      <c r="Y22" s="13" t="n">
        <v>8.6</v>
      </c>
      <c r="Z22" s="13" t="n">
        <v>9.1</v>
      </c>
      <c r="AA22" s="13">
        <f>IFERROR(ROUND(AVERAGE(W22:Z22),1),"")</f>
        <v/>
      </c>
      <c r="AB22" s="13" t="n">
        <v>8.6</v>
      </c>
      <c r="AC22" s="13" t="n">
        <v>8.800000000000001</v>
      </c>
      <c r="AD22" s="13" t="n">
        <v>8.6</v>
      </c>
      <c r="AE22" s="13" t="n">
        <v>8.199999999999999</v>
      </c>
      <c r="AF22" s="13">
        <f>IFERROR(ROUND(AVERAGE(AB22:AE22),1),"")</f>
        <v/>
      </c>
      <c r="AG22" s="13" t="n">
        <v>8.4</v>
      </c>
      <c r="AH22" s="13" t="n">
        <v>7.6</v>
      </c>
      <c r="AI22" s="13" t="n">
        <v>8.800000000000001</v>
      </c>
      <c r="AJ22" s="13" t="n">
        <v>8.6</v>
      </c>
      <c r="AK22" s="13">
        <f>IFERROR(ROUND(AVERAGE(AG22:AJ22),1),"")</f>
        <v/>
      </c>
      <c r="AL22" s="13" t="n">
        <v>8.4</v>
      </c>
      <c r="AM22" s="13" t="n">
        <v>8.4</v>
      </c>
      <c r="AN22" s="13" t="inlineStr"/>
      <c r="AO22" s="13">
        <f>IFERROR(ROUND(AVERAGE(AL22:AN22),1),"")</f>
        <v/>
      </c>
      <c r="AP22" s="13" t="n">
        <v>5.5</v>
      </c>
      <c r="AQ22" s="13" t="n">
        <v>5.5</v>
      </c>
      <c r="AR22" s="13" t="n">
        <v>10</v>
      </c>
      <c r="AS22" s="13" t="n">
        <v>4</v>
      </c>
      <c r="AT22" s="13">
        <f>IFERROR(ROUND(AVERAGE(AP22:AS22),1),"")</f>
        <v/>
      </c>
      <c r="AU22" s="13" t="n">
        <v>8.6</v>
      </c>
      <c r="AV22" s="13" t="n">
        <v>8.6</v>
      </c>
      <c r="AW22" s="13" t="n">
        <v>9.199999999999999</v>
      </c>
      <c r="AX22" s="13" t="n">
        <v>8.800000000000001</v>
      </c>
      <c r="AY22" s="13">
        <f>IFERROR(ROUND(AVERAGE(AU22:AX22),1),"")</f>
        <v/>
      </c>
      <c r="AZ22" s="13">
        <f>ROUND(0.19*N(Q22)+0.17*N(V22)+0.17*N(AA22)+0.1*N(AF22)+0.09*N(AK22)+0.12*N(AT22)+0.16*N(AY22),1)</f>
        <v/>
      </c>
      <c r="BA22" s="13" t="inlineStr">
        <is>
          <t>1M</t>
        </is>
      </c>
      <c r="BB22" s="13" t="n">
        <v>64000</v>
      </c>
      <c r="BC22" s="13" t="inlineStr"/>
      <c r="BD22" s="13" t="inlineStr"/>
      <c r="BE22" s="13" t="inlineStr">
        <is>
          <t>high</t>
        </is>
      </c>
      <c r="BF22" s="13" t="n">
        <v>5</v>
      </c>
      <c r="BG22" s="13" t="n">
        <v>5</v>
      </c>
      <c r="BH22" s="13" t="inlineStr">
        <is>
          <t>Top SWE-bench coding; cybersecurity (Glasswing)</t>
        </is>
      </c>
      <c r="BI22" s="13" t="inlineStr">
        <is>
          <t>General access (invitation-only)</t>
        </is>
      </c>
      <c r="BJ22" s="15" t="inlineStr">
        <is>
          <t>M</t>
        </is>
      </c>
      <c r="BK22" s="13" t="inlineStr">
        <is>
          <t>SWE-bench Verified 93.9% (#1); MMMU-Pro 92.7%; access-gated so MEDIUM</t>
        </is>
      </c>
      <c r="BL22" s="13" t="inlineStr">
        <is>
          <t>2026-06-07</t>
        </is>
      </c>
    </row>
    <row r="23">
      <c r="A23" s="13" t="inlineStr">
        <is>
          <t>gpt-5.5</t>
        </is>
      </c>
      <c r="B23" s="13" t="inlineStr">
        <is>
          <t>GPT-5.5</t>
        </is>
      </c>
      <c r="C23" s="13" t="inlineStr">
        <is>
          <t>OpenAI</t>
        </is>
      </c>
      <c r="D23" s="13" t="inlineStr">
        <is>
          <t>GPT-5.x</t>
        </is>
      </c>
      <c r="E23" s="13" t="inlineStr">
        <is>
          <t>5.5</t>
        </is>
      </c>
      <c r="F23" s="13" t="inlineStr">
        <is>
          <t>Current</t>
        </is>
      </c>
      <c r="G23" s="13" t="inlineStr">
        <is>
          <t>Flagship Reasoner</t>
        </is>
      </c>
      <c r="H23" s="13" t="inlineStr">
        <is>
          <t>OpenAI API</t>
        </is>
      </c>
      <c r="I23" s="13" t="inlineStr">
        <is>
          <t>HTTP API</t>
        </is>
      </c>
      <c r="J23" s="13" t="inlineStr">
        <is>
          <t>No standalone key</t>
        </is>
      </c>
      <c r="K23" s="13" t="inlineStr">
        <is>
          <t>metered (not configured)</t>
        </is>
      </c>
      <c r="L23" s="13" t="inlineStr">
        <is>
          <t>No</t>
        </is>
      </c>
      <c r="M23" s="13" t="n">
        <v>9.4</v>
      </c>
      <c r="N23" s="13" t="n">
        <v>9.199999999999999</v>
      </c>
      <c r="O23" s="13" t="n">
        <v>9.199999999999999</v>
      </c>
      <c r="P23" s="13" t="n">
        <v>9</v>
      </c>
      <c r="Q23" s="13">
        <f>IFERROR(ROUND(AVERAGE(M23:P23),1),"")</f>
        <v/>
      </c>
      <c r="R23" s="13" t="n">
        <v>9.1</v>
      </c>
      <c r="S23" s="13" t="n">
        <v>8.9</v>
      </c>
      <c r="T23" s="13" t="n">
        <v>8.800000000000001</v>
      </c>
      <c r="U23" s="13" t="n">
        <v>9</v>
      </c>
      <c r="V23" s="13">
        <f>IFERROR(ROUND(AVERAGE(R23:U23),1),"")</f>
        <v/>
      </c>
      <c r="W23" s="13" t="n">
        <v>9.199999999999999</v>
      </c>
      <c r="X23" s="13" t="n">
        <v>9.199999999999999</v>
      </c>
      <c r="Y23" s="13" t="n">
        <v>8.800000000000001</v>
      </c>
      <c r="Z23" s="13" t="n">
        <v>9.199999999999999</v>
      </c>
      <c r="AA23" s="13">
        <f>IFERROR(ROUND(AVERAGE(W23:Z23),1),"")</f>
        <v/>
      </c>
      <c r="AB23" s="13" t="n">
        <v>8.800000000000001</v>
      </c>
      <c r="AC23" s="13" t="n">
        <v>8.800000000000001</v>
      </c>
      <c r="AD23" s="13" t="n">
        <v>8.699999999999999</v>
      </c>
      <c r="AE23" s="13" t="n">
        <v>8.6</v>
      </c>
      <c r="AF23" s="13">
        <f>IFERROR(ROUND(AVERAGE(AB23:AE23),1),"")</f>
        <v/>
      </c>
      <c r="AG23" s="13" t="n">
        <v>8.6</v>
      </c>
      <c r="AH23" s="13" t="n">
        <v>7.8</v>
      </c>
      <c r="AI23" s="13" t="n">
        <v>8.800000000000001</v>
      </c>
      <c r="AJ23" s="13" t="n">
        <v>9</v>
      </c>
      <c r="AK23" s="13">
        <f>IFERROR(ROUND(AVERAGE(AG23:AJ23),1),"")</f>
        <v/>
      </c>
      <c r="AL23" s="13" t="n">
        <v>9</v>
      </c>
      <c r="AM23" s="13" t="n">
        <v>9</v>
      </c>
      <c r="AN23" s="13" t="inlineStr"/>
      <c r="AO23" s="13">
        <f>IFERROR(ROUND(AVERAGE(AL23:AN23),1),"")</f>
        <v/>
      </c>
      <c r="AP23" s="13" t="n">
        <v>6</v>
      </c>
      <c r="AQ23" s="13" t="n">
        <v>6</v>
      </c>
      <c r="AR23" s="13" t="n">
        <v>10</v>
      </c>
      <c r="AS23" s="13" t="n">
        <v>4.5</v>
      </c>
      <c r="AT23" s="13">
        <f>IFERROR(ROUND(AVERAGE(AP23:AS23),1),"")</f>
        <v/>
      </c>
      <c r="AU23" s="13" t="n">
        <v>8.6</v>
      </c>
      <c r="AV23" s="13" t="n">
        <v>8.6</v>
      </c>
      <c r="AW23" s="13" t="n">
        <v>8.6</v>
      </c>
      <c r="AX23" s="13" t="n">
        <v>8.5</v>
      </c>
      <c r="AY23" s="13">
        <f>IFERROR(ROUND(AVERAGE(AU23:AX23),1),"")</f>
        <v/>
      </c>
      <c r="AZ23" s="13">
        <f>ROUND(0.19*N(Q23)+0.17*N(V23)+0.17*N(AA23)+0.1*N(AF23)+0.09*N(AK23)+0.12*N(AT23)+0.16*N(AY23),1)</f>
        <v/>
      </c>
      <c r="BA23" s="13" t="inlineStr">
        <is>
          <t>1M</t>
        </is>
      </c>
      <c r="BB23" s="13" t="n">
        <v>128000</v>
      </c>
      <c r="BC23" s="13" t="n">
        <v>5</v>
      </c>
      <c r="BD23" s="13" t="n">
        <v>30</v>
      </c>
      <c r="BE23" s="13" t="inlineStr">
        <is>
          <t>critical</t>
        </is>
      </c>
      <c r="BF23" s="13" t="n">
        <v>5</v>
      </c>
      <c r="BG23" s="13" t="n">
        <v>5</v>
      </c>
      <c r="BH23" s="13" t="inlineStr">
        <is>
          <t>Frontier reasoning, agentic coding, tool orchestration</t>
        </is>
      </c>
      <c r="BI23" s="13" t="inlineStr">
        <is>
          <t>Cheapest bulk tasks</t>
        </is>
      </c>
      <c r="BJ23" s="14" t="inlineStr">
        <is>
          <t>H</t>
        </is>
      </c>
      <c r="BK23" s="13" t="inlineStr">
        <is>
          <t>AA Index 60; SWE-bench Verified 88.7%; GPQA 93.5%; ARC-AGI-2 85%; benchmark-anchored (AA Index, SWE-bench, GPQA, ARC-AGI-2, Aider, MMMU 2026-06)</t>
        </is>
      </c>
      <c r="BL23" s="13" t="inlineStr">
        <is>
          <t>2026-06-07</t>
        </is>
      </c>
    </row>
    <row r="24">
      <c r="A24" s="13" t="inlineStr">
        <is>
          <t>gpt-5.5</t>
        </is>
      </c>
      <c r="B24" s="13" t="inlineStr">
        <is>
          <t>GPT-5.5</t>
        </is>
      </c>
      <c r="C24" s="13" t="inlineStr">
        <is>
          <t>OpenAI</t>
        </is>
      </c>
      <c r="D24" s="13" t="inlineStr">
        <is>
          <t>GPT-5.x</t>
        </is>
      </c>
      <c r="E24" s="13" t="inlineStr">
        <is>
          <t>5.5</t>
        </is>
      </c>
      <c r="F24" s="13" t="inlineStr">
        <is>
          <t>Current</t>
        </is>
      </c>
      <c r="G24" s="13" t="inlineStr">
        <is>
          <t>Flagship Reasoner</t>
        </is>
      </c>
      <c r="H24" s="13" t="inlineStr">
        <is>
          <t>Codex CLI</t>
        </is>
      </c>
      <c r="I24" s="13" t="inlineStr">
        <is>
          <t>CLI</t>
        </is>
      </c>
      <c r="J24" s="13" t="inlineStr">
        <is>
          <t>Working (ChatGPT plan)</t>
        </is>
      </c>
      <c r="K24" s="13" t="inlineStr">
        <is>
          <t>subscription_included</t>
        </is>
      </c>
      <c r="L24" s="13" t="inlineStr">
        <is>
          <t>No</t>
        </is>
      </c>
      <c r="M24" s="13" t="n">
        <v>9.4</v>
      </c>
      <c r="N24" s="13" t="n">
        <v>9.199999999999999</v>
      </c>
      <c r="O24" s="13" t="n">
        <v>9.199999999999999</v>
      </c>
      <c r="P24" s="13" t="n">
        <v>9</v>
      </c>
      <c r="Q24" s="13">
        <f>IFERROR(ROUND(AVERAGE(M24:P24),1),"")</f>
        <v/>
      </c>
      <c r="R24" s="13" t="n">
        <v>9.1</v>
      </c>
      <c r="S24" s="13" t="n">
        <v>8.9</v>
      </c>
      <c r="T24" s="13" t="n">
        <v>8.800000000000001</v>
      </c>
      <c r="U24" s="13" t="n">
        <v>9</v>
      </c>
      <c r="V24" s="13">
        <f>IFERROR(ROUND(AVERAGE(R24:U24),1),"")</f>
        <v/>
      </c>
      <c r="W24" s="13" t="n">
        <v>9.199999999999999</v>
      </c>
      <c r="X24" s="13" t="n">
        <v>9.199999999999999</v>
      </c>
      <c r="Y24" s="13" t="n">
        <v>8.800000000000001</v>
      </c>
      <c r="Z24" s="13" t="n">
        <v>9.199999999999999</v>
      </c>
      <c r="AA24" s="13">
        <f>IFERROR(ROUND(AVERAGE(W24:Z24),1),"")</f>
        <v/>
      </c>
      <c r="AB24" s="13" t="n">
        <v>8.800000000000001</v>
      </c>
      <c r="AC24" s="13" t="n">
        <v>8.800000000000001</v>
      </c>
      <c r="AD24" s="13" t="n">
        <v>8.699999999999999</v>
      </c>
      <c r="AE24" s="13" t="n">
        <v>8.6</v>
      </c>
      <c r="AF24" s="13">
        <f>IFERROR(ROUND(AVERAGE(AB24:AE24),1),"")</f>
        <v/>
      </c>
      <c r="AG24" s="13" t="n">
        <v>8.6</v>
      </c>
      <c r="AH24" s="13" t="n">
        <v>7.8</v>
      </c>
      <c r="AI24" s="13" t="n">
        <v>8.800000000000001</v>
      </c>
      <c r="AJ24" s="13" t="n">
        <v>9</v>
      </c>
      <c r="AK24" s="13">
        <f>IFERROR(ROUND(AVERAGE(AG24:AJ24),1),"")</f>
        <v/>
      </c>
      <c r="AL24" s="13" t="n">
        <v>9</v>
      </c>
      <c r="AM24" s="13" t="n">
        <v>9</v>
      </c>
      <c r="AN24" s="13" t="inlineStr"/>
      <c r="AO24" s="13">
        <f>IFERROR(ROUND(AVERAGE(AL24:AN24),1),"")</f>
        <v/>
      </c>
      <c r="AP24" s="13" t="n">
        <v>6</v>
      </c>
      <c r="AQ24" s="13" t="n">
        <v>6</v>
      </c>
      <c r="AR24" s="13" t="n">
        <v>10</v>
      </c>
      <c r="AS24" s="13" t="n">
        <v>4.5</v>
      </c>
      <c r="AT24" s="13">
        <f>IFERROR(ROUND(AVERAGE(AP24:AS24),1),"")</f>
        <v/>
      </c>
      <c r="AU24" s="13" t="n">
        <v>8.6</v>
      </c>
      <c r="AV24" s="13" t="n">
        <v>8.6</v>
      </c>
      <c r="AW24" s="13" t="n">
        <v>8.6</v>
      </c>
      <c r="AX24" s="13" t="n">
        <v>8.5</v>
      </c>
      <c r="AY24" s="13">
        <f>IFERROR(ROUND(AVERAGE(AU24:AX24),1),"")</f>
        <v/>
      </c>
      <c r="AZ24" s="13">
        <f>ROUND(0.19*N(Q24)+0.17*N(V24)+0.17*N(AA24)+0.1*N(AF24)+0.09*N(AK24)+0.12*N(AT24)+0.16*N(AY24),1)</f>
        <v/>
      </c>
      <c r="BA24" s="13" t="inlineStr">
        <is>
          <t>1M</t>
        </is>
      </c>
      <c r="BB24" s="13" t="n">
        <v>128000</v>
      </c>
      <c r="BC24" s="13" t="n">
        <v>5</v>
      </c>
      <c r="BD24" s="13" t="n">
        <v>30</v>
      </c>
      <c r="BE24" s="13" t="inlineStr">
        <is>
          <t>critical</t>
        </is>
      </c>
      <c r="BF24" s="13" t="n">
        <v>5</v>
      </c>
      <c r="BG24" s="13" t="n">
        <v>5</v>
      </c>
      <c r="BH24" s="13" t="inlineStr">
        <is>
          <t>Frontier reasoning, agentic coding, tool orchestration</t>
        </is>
      </c>
      <c r="BI24" s="13" t="inlineStr">
        <is>
          <t>Cheapest bulk tasks</t>
        </is>
      </c>
      <c r="BJ24" s="14" t="inlineStr">
        <is>
          <t>H</t>
        </is>
      </c>
      <c r="BK24" s="13" t="inlineStr">
        <is>
          <t>AA Index 60; SWE-bench Verified 88.7%; GPQA 93.5%; ARC-AGI-2 85%; benchmark-anchored (AA Index, SWE-bench, GPQA, ARC-AGI-2, Aider, MMMU 2026-06)</t>
        </is>
      </c>
      <c r="BL24" s="13" t="inlineStr">
        <is>
          <t>2026-06-07</t>
        </is>
      </c>
    </row>
    <row r="25">
      <c r="A25" s="13" t="inlineStr">
        <is>
          <t>gpt-5.5</t>
        </is>
      </c>
      <c r="B25" s="13" t="inlineStr">
        <is>
          <t>GPT-5.5</t>
        </is>
      </c>
      <c r="C25" s="13" t="inlineStr">
        <is>
          <t>OpenAI</t>
        </is>
      </c>
      <c r="D25" s="13" t="inlineStr">
        <is>
          <t>GPT-5.x</t>
        </is>
      </c>
      <c r="E25" s="13" t="inlineStr">
        <is>
          <t>5.5</t>
        </is>
      </c>
      <c r="F25" s="13" t="inlineStr">
        <is>
          <t>Current</t>
        </is>
      </c>
      <c r="G25" s="13" t="inlineStr">
        <is>
          <t>Flagship Reasoner</t>
        </is>
      </c>
      <c r="H25" s="13" t="inlineStr">
        <is>
          <t>GitHub Models (AI Toolkit)</t>
        </is>
      </c>
      <c r="I25" s="13" t="inlineStr">
        <is>
          <t>Aggregator</t>
        </is>
      </c>
      <c r="J25" s="13" t="inlineStr">
        <is>
          <t>Configured</t>
        </is>
      </c>
      <c r="K25" s="13" t="inlineStr">
        <is>
          <t>subscription_included</t>
        </is>
      </c>
      <c r="L25" s="13" t="inlineStr">
        <is>
          <t>No</t>
        </is>
      </c>
      <c r="M25" s="13" t="n">
        <v>9.4</v>
      </c>
      <c r="N25" s="13" t="n">
        <v>9.199999999999999</v>
      </c>
      <c r="O25" s="13" t="n">
        <v>9.199999999999999</v>
      </c>
      <c r="P25" s="13" t="n">
        <v>9</v>
      </c>
      <c r="Q25" s="13">
        <f>IFERROR(ROUND(AVERAGE(M25:P25),1),"")</f>
        <v/>
      </c>
      <c r="R25" s="13" t="n">
        <v>9.1</v>
      </c>
      <c r="S25" s="13" t="n">
        <v>8.9</v>
      </c>
      <c r="T25" s="13" t="n">
        <v>8.800000000000001</v>
      </c>
      <c r="U25" s="13" t="n">
        <v>9</v>
      </c>
      <c r="V25" s="13">
        <f>IFERROR(ROUND(AVERAGE(R25:U25),1),"")</f>
        <v/>
      </c>
      <c r="W25" s="13" t="n">
        <v>9.199999999999999</v>
      </c>
      <c r="X25" s="13" t="n">
        <v>9.199999999999999</v>
      </c>
      <c r="Y25" s="13" t="n">
        <v>8.800000000000001</v>
      </c>
      <c r="Z25" s="13" t="n">
        <v>9.199999999999999</v>
      </c>
      <c r="AA25" s="13">
        <f>IFERROR(ROUND(AVERAGE(W25:Z25),1),"")</f>
        <v/>
      </c>
      <c r="AB25" s="13" t="n">
        <v>8.800000000000001</v>
      </c>
      <c r="AC25" s="13" t="n">
        <v>8.800000000000001</v>
      </c>
      <c r="AD25" s="13" t="n">
        <v>8.699999999999999</v>
      </c>
      <c r="AE25" s="13" t="n">
        <v>8.6</v>
      </c>
      <c r="AF25" s="13">
        <f>IFERROR(ROUND(AVERAGE(AB25:AE25),1),"")</f>
        <v/>
      </c>
      <c r="AG25" s="13" t="n">
        <v>8.6</v>
      </c>
      <c r="AH25" s="13" t="n">
        <v>7.8</v>
      </c>
      <c r="AI25" s="13" t="n">
        <v>8.800000000000001</v>
      </c>
      <c r="AJ25" s="13" t="n">
        <v>9</v>
      </c>
      <c r="AK25" s="13">
        <f>IFERROR(ROUND(AVERAGE(AG25:AJ25),1),"")</f>
        <v/>
      </c>
      <c r="AL25" s="13" t="n">
        <v>9</v>
      </c>
      <c r="AM25" s="13" t="n">
        <v>9</v>
      </c>
      <c r="AN25" s="13" t="inlineStr"/>
      <c r="AO25" s="13">
        <f>IFERROR(ROUND(AVERAGE(AL25:AN25),1),"")</f>
        <v/>
      </c>
      <c r="AP25" s="13" t="n">
        <v>6</v>
      </c>
      <c r="AQ25" s="13" t="n">
        <v>6</v>
      </c>
      <c r="AR25" s="13" t="n">
        <v>10</v>
      </c>
      <c r="AS25" s="13" t="n">
        <v>4.5</v>
      </c>
      <c r="AT25" s="13">
        <f>IFERROR(ROUND(AVERAGE(AP25:AS25),1),"")</f>
        <v/>
      </c>
      <c r="AU25" s="13" t="n">
        <v>8.6</v>
      </c>
      <c r="AV25" s="13" t="n">
        <v>8.6</v>
      </c>
      <c r="AW25" s="13" t="n">
        <v>8.6</v>
      </c>
      <c r="AX25" s="13" t="n">
        <v>8.5</v>
      </c>
      <c r="AY25" s="13">
        <f>IFERROR(ROUND(AVERAGE(AU25:AX25),1),"")</f>
        <v/>
      </c>
      <c r="AZ25" s="13">
        <f>ROUND(0.19*N(Q25)+0.17*N(V25)+0.17*N(AA25)+0.1*N(AF25)+0.09*N(AK25)+0.12*N(AT25)+0.16*N(AY25),1)</f>
        <v/>
      </c>
      <c r="BA25" s="13" t="inlineStr">
        <is>
          <t>1M</t>
        </is>
      </c>
      <c r="BB25" s="13" t="n">
        <v>128000</v>
      </c>
      <c r="BC25" s="13" t="n">
        <v>5</v>
      </c>
      <c r="BD25" s="13" t="n">
        <v>30</v>
      </c>
      <c r="BE25" s="13" t="inlineStr">
        <is>
          <t>critical</t>
        </is>
      </c>
      <c r="BF25" s="13" t="n">
        <v>5</v>
      </c>
      <c r="BG25" s="13" t="n">
        <v>5</v>
      </c>
      <c r="BH25" s="13" t="inlineStr">
        <is>
          <t>Frontier reasoning, agentic coding, tool orchestration</t>
        </is>
      </c>
      <c r="BI25" s="13" t="inlineStr">
        <is>
          <t>Cheapest bulk tasks</t>
        </is>
      </c>
      <c r="BJ25" s="14" t="inlineStr">
        <is>
          <t>H</t>
        </is>
      </c>
      <c r="BK25" s="13" t="inlineStr">
        <is>
          <t>AA Index 60; SWE-bench Verified 88.7%; GPQA 93.5%; ARC-AGI-2 85%; benchmark-anchored (AA Index, SWE-bench, GPQA, ARC-AGI-2, Aider, MMMU 2026-06)</t>
        </is>
      </c>
      <c r="BL25" s="13" t="inlineStr">
        <is>
          <t>2026-06-07</t>
        </is>
      </c>
    </row>
    <row r="26">
      <c r="A26" s="13" t="inlineStr">
        <is>
          <t>gpt-5.5</t>
        </is>
      </c>
      <c r="B26" s="13" t="inlineStr">
        <is>
          <t>GPT-5.5</t>
        </is>
      </c>
      <c r="C26" s="13" t="inlineStr">
        <is>
          <t>OpenAI</t>
        </is>
      </c>
      <c r="D26" s="13" t="inlineStr">
        <is>
          <t>GPT-5.x</t>
        </is>
      </c>
      <c r="E26" s="13" t="inlineStr">
        <is>
          <t>5.5</t>
        </is>
      </c>
      <c r="F26" s="13" t="inlineStr">
        <is>
          <t>Current</t>
        </is>
      </c>
      <c r="G26" s="13" t="inlineStr">
        <is>
          <t>Flagship Reasoner</t>
        </is>
      </c>
      <c r="H26" s="13" t="inlineStr">
        <is>
          <t>Azure AI Foundry</t>
        </is>
      </c>
      <c r="I26" s="13" t="inlineStr">
        <is>
          <t>Aggregator</t>
        </is>
      </c>
      <c r="J26" s="13" t="inlineStr">
        <is>
          <t>Not credentialed</t>
        </is>
      </c>
      <c r="K26" s="13" t="inlineStr">
        <is>
          <t>metered (not configured)</t>
        </is>
      </c>
      <c r="L26" s="13" t="inlineStr">
        <is>
          <t>No</t>
        </is>
      </c>
      <c r="M26" s="13" t="n">
        <v>9.4</v>
      </c>
      <c r="N26" s="13" t="n">
        <v>9.199999999999999</v>
      </c>
      <c r="O26" s="13" t="n">
        <v>9.199999999999999</v>
      </c>
      <c r="P26" s="13" t="n">
        <v>9</v>
      </c>
      <c r="Q26" s="13">
        <f>IFERROR(ROUND(AVERAGE(M26:P26),1),"")</f>
        <v/>
      </c>
      <c r="R26" s="13" t="n">
        <v>9.1</v>
      </c>
      <c r="S26" s="13" t="n">
        <v>8.9</v>
      </c>
      <c r="T26" s="13" t="n">
        <v>8.800000000000001</v>
      </c>
      <c r="U26" s="13" t="n">
        <v>9</v>
      </c>
      <c r="V26" s="13">
        <f>IFERROR(ROUND(AVERAGE(R26:U26),1),"")</f>
        <v/>
      </c>
      <c r="W26" s="13" t="n">
        <v>9.199999999999999</v>
      </c>
      <c r="X26" s="13" t="n">
        <v>9.199999999999999</v>
      </c>
      <c r="Y26" s="13" t="n">
        <v>8.800000000000001</v>
      </c>
      <c r="Z26" s="13" t="n">
        <v>9.199999999999999</v>
      </c>
      <c r="AA26" s="13">
        <f>IFERROR(ROUND(AVERAGE(W26:Z26),1),"")</f>
        <v/>
      </c>
      <c r="AB26" s="13" t="n">
        <v>8.800000000000001</v>
      </c>
      <c r="AC26" s="13" t="n">
        <v>8.800000000000001</v>
      </c>
      <c r="AD26" s="13" t="n">
        <v>8.699999999999999</v>
      </c>
      <c r="AE26" s="13" t="n">
        <v>8.6</v>
      </c>
      <c r="AF26" s="13">
        <f>IFERROR(ROUND(AVERAGE(AB26:AE26),1),"")</f>
        <v/>
      </c>
      <c r="AG26" s="13" t="n">
        <v>8.6</v>
      </c>
      <c r="AH26" s="13" t="n">
        <v>7.8</v>
      </c>
      <c r="AI26" s="13" t="n">
        <v>8.800000000000001</v>
      </c>
      <c r="AJ26" s="13" t="n">
        <v>9</v>
      </c>
      <c r="AK26" s="13">
        <f>IFERROR(ROUND(AVERAGE(AG26:AJ26),1),"")</f>
        <v/>
      </c>
      <c r="AL26" s="13" t="n">
        <v>9</v>
      </c>
      <c r="AM26" s="13" t="n">
        <v>9</v>
      </c>
      <c r="AN26" s="13" t="inlineStr"/>
      <c r="AO26" s="13">
        <f>IFERROR(ROUND(AVERAGE(AL26:AN26),1),"")</f>
        <v/>
      </c>
      <c r="AP26" s="13" t="n">
        <v>6</v>
      </c>
      <c r="AQ26" s="13" t="n">
        <v>6</v>
      </c>
      <c r="AR26" s="13" t="n">
        <v>10</v>
      </c>
      <c r="AS26" s="13" t="n">
        <v>4.5</v>
      </c>
      <c r="AT26" s="13">
        <f>IFERROR(ROUND(AVERAGE(AP26:AS26),1),"")</f>
        <v/>
      </c>
      <c r="AU26" s="13" t="n">
        <v>8.6</v>
      </c>
      <c r="AV26" s="13" t="n">
        <v>8.6</v>
      </c>
      <c r="AW26" s="13" t="n">
        <v>8.6</v>
      </c>
      <c r="AX26" s="13" t="n">
        <v>8.5</v>
      </c>
      <c r="AY26" s="13">
        <f>IFERROR(ROUND(AVERAGE(AU26:AX26),1),"")</f>
        <v/>
      </c>
      <c r="AZ26" s="13">
        <f>ROUND(0.19*N(Q26)+0.17*N(V26)+0.17*N(AA26)+0.1*N(AF26)+0.09*N(AK26)+0.12*N(AT26)+0.16*N(AY26),1)</f>
        <v/>
      </c>
      <c r="BA26" s="13" t="inlineStr">
        <is>
          <t>1M</t>
        </is>
      </c>
      <c r="BB26" s="13" t="n">
        <v>128000</v>
      </c>
      <c r="BC26" s="13" t="n">
        <v>5</v>
      </c>
      <c r="BD26" s="13" t="n">
        <v>30</v>
      </c>
      <c r="BE26" s="13" t="inlineStr">
        <is>
          <t>critical</t>
        </is>
      </c>
      <c r="BF26" s="13" t="n">
        <v>5</v>
      </c>
      <c r="BG26" s="13" t="n">
        <v>5</v>
      </c>
      <c r="BH26" s="13" t="inlineStr">
        <is>
          <t>Frontier reasoning, agentic coding, tool orchestration</t>
        </is>
      </c>
      <c r="BI26" s="13" t="inlineStr">
        <is>
          <t>Cheapest bulk tasks</t>
        </is>
      </c>
      <c r="BJ26" s="14" t="inlineStr">
        <is>
          <t>H</t>
        </is>
      </c>
      <c r="BK26" s="13" t="inlineStr">
        <is>
          <t>AA Index 60; SWE-bench Verified 88.7%; GPQA 93.5%; ARC-AGI-2 85%; benchmark-anchored (AA Index, SWE-bench, GPQA, ARC-AGI-2, Aider, MMMU 2026-06)</t>
        </is>
      </c>
      <c r="BL26" s="13" t="inlineStr">
        <is>
          <t>2026-06-07</t>
        </is>
      </c>
    </row>
    <row r="27">
      <c r="A27" s="13" t="inlineStr">
        <is>
          <t>gpt-5.5</t>
        </is>
      </c>
      <c r="B27" s="13" t="inlineStr">
        <is>
          <t>GPT-5.5</t>
        </is>
      </c>
      <c r="C27" s="13" t="inlineStr">
        <is>
          <t>OpenAI</t>
        </is>
      </c>
      <c r="D27" s="13" t="inlineStr">
        <is>
          <t>GPT-5.x</t>
        </is>
      </c>
      <c r="E27" s="13" t="inlineStr">
        <is>
          <t>5.5</t>
        </is>
      </c>
      <c r="F27" s="13" t="inlineStr">
        <is>
          <t>Current</t>
        </is>
      </c>
      <c r="G27" s="13" t="inlineStr">
        <is>
          <t>Flagship Reasoner</t>
        </is>
      </c>
      <c r="H27" s="13" t="inlineStr">
        <is>
          <t>GitHub Copilot CLI</t>
        </is>
      </c>
      <c r="I27" s="13" t="inlineStr">
        <is>
          <t>CLI</t>
        </is>
      </c>
      <c r="J27" s="13" t="inlineStr">
        <is>
          <t>Working (premium req)</t>
        </is>
      </c>
      <c r="K27" s="13" t="inlineStr">
        <is>
          <t>subscription_included</t>
        </is>
      </c>
      <c r="L27" s="13" t="inlineStr">
        <is>
          <t>No</t>
        </is>
      </c>
      <c r="M27" s="13" t="n">
        <v>9.4</v>
      </c>
      <c r="N27" s="13" t="n">
        <v>9.199999999999999</v>
      </c>
      <c r="O27" s="13" t="n">
        <v>9.199999999999999</v>
      </c>
      <c r="P27" s="13" t="n">
        <v>9</v>
      </c>
      <c r="Q27" s="13">
        <f>IFERROR(ROUND(AVERAGE(M27:P27),1),"")</f>
        <v/>
      </c>
      <c r="R27" s="13" t="n">
        <v>9.1</v>
      </c>
      <c r="S27" s="13" t="n">
        <v>8.9</v>
      </c>
      <c r="T27" s="13" t="n">
        <v>8.800000000000001</v>
      </c>
      <c r="U27" s="13" t="n">
        <v>9</v>
      </c>
      <c r="V27" s="13">
        <f>IFERROR(ROUND(AVERAGE(R27:U27),1),"")</f>
        <v/>
      </c>
      <c r="W27" s="13" t="n">
        <v>9.199999999999999</v>
      </c>
      <c r="X27" s="13" t="n">
        <v>9.199999999999999</v>
      </c>
      <c r="Y27" s="13" t="n">
        <v>8.800000000000001</v>
      </c>
      <c r="Z27" s="13" t="n">
        <v>9.199999999999999</v>
      </c>
      <c r="AA27" s="13">
        <f>IFERROR(ROUND(AVERAGE(W27:Z27),1),"")</f>
        <v/>
      </c>
      <c r="AB27" s="13" t="n">
        <v>8.800000000000001</v>
      </c>
      <c r="AC27" s="13" t="n">
        <v>8.800000000000001</v>
      </c>
      <c r="AD27" s="13" t="n">
        <v>8.699999999999999</v>
      </c>
      <c r="AE27" s="13" t="n">
        <v>8.6</v>
      </c>
      <c r="AF27" s="13">
        <f>IFERROR(ROUND(AVERAGE(AB27:AE27),1),"")</f>
        <v/>
      </c>
      <c r="AG27" s="13" t="n">
        <v>8.6</v>
      </c>
      <c r="AH27" s="13" t="n">
        <v>7.8</v>
      </c>
      <c r="AI27" s="13" t="n">
        <v>8.800000000000001</v>
      </c>
      <c r="AJ27" s="13" t="n">
        <v>9</v>
      </c>
      <c r="AK27" s="13">
        <f>IFERROR(ROUND(AVERAGE(AG27:AJ27),1),"")</f>
        <v/>
      </c>
      <c r="AL27" s="13" t="n">
        <v>9</v>
      </c>
      <c r="AM27" s="13" t="n">
        <v>9</v>
      </c>
      <c r="AN27" s="13" t="inlineStr"/>
      <c r="AO27" s="13">
        <f>IFERROR(ROUND(AVERAGE(AL27:AN27),1),"")</f>
        <v/>
      </c>
      <c r="AP27" s="13" t="n">
        <v>6</v>
      </c>
      <c r="AQ27" s="13" t="n">
        <v>6</v>
      </c>
      <c r="AR27" s="13" t="n">
        <v>10</v>
      </c>
      <c r="AS27" s="13" t="n">
        <v>4.5</v>
      </c>
      <c r="AT27" s="13">
        <f>IFERROR(ROUND(AVERAGE(AP27:AS27),1),"")</f>
        <v/>
      </c>
      <c r="AU27" s="13" t="n">
        <v>8.6</v>
      </c>
      <c r="AV27" s="13" t="n">
        <v>8.6</v>
      </c>
      <c r="AW27" s="13" t="n">
        <v>8.6</v>
      </c>
      <c r="AX27" s="13" t="n">
        <v>8.5</v>
      </c>
      <c r="AY27" s="13">
        <f>IFERROR(ROUND(AVERAGE(AU27:AX27),1),"")</f>
        <v/>
      </c>
      <c r="AZ27" s="13">
        <f>ROUND(0.19*N(Q27)+0.17*N(V27)+0.17*N(AA27)+0.1*N(AF27)+0.09*N(AK27)+0.12*N(AT27)+0.16*N(AY27),1)</f>
        <v/>
      </c>
      <c r="BA27" s="13" t="inlineStr">
        <is>
          <t>1M</t>
        </is>
      </c>
      <c r="BB27" s="13" t="n">
        <v>128000</v>
      </c>
      <c r="BC27" s="13" t="n">
        <v>5</v>
      </c>
      <c r="BD27" s="13" t="n">
        <v>30</v>
      </c>
      <c r="BE27" s="13" t="inlineStr">
        <is>
          <t>critical</t>
        </is>
      </c>
      <c r="BF27" s="13" t="n">
        <v>5</v>
      </c>
      <c r="BG27" s="13" t="n">
        <v>5</v>
      </c>
      <c r="BH27" s="13" t="inlineStr">
        <is>
          <t>Frontier reasoning, agentic coding, tool orchestration</t>
        </is>
      </c>
      <c r="BI27" s="13" t="inlineStr">
        <is>
          <t>Cheapest bulk tasks</t>
        </is>
      </c>
      <c r="BJ27" s="14" t="inlineStr">
        <is>
          <t>H</t>
        </is>
      </c>
      <c r="BK27" s="13" t="inlineStr">
        <is>
          <t>AA Index 60; SWE-bench Verified 88.7%; GPQA 93.5%; ARC-AGI-2 85%; benchmark-anchored (AA Index, SWE-bench, GPQA, ARC-AGI-2, Aider, MMMU 2026-06)</t>
        </is>
      </c>
      <c r="BL27" s="13" t="inlineStr">
        <is>
          <t>2026-06-07</t>
        </is>
      </c>
    </row>
    <row r="28">
      <c r="A28" s="13" t="inlineStr">
        <is>
          <t>gpt-5.5-pro</t>
        </is>
      </c>
      <c r="B28" s="13" t="inlineStr">
        <is>
          <t>GPT-5.5 Pro</t>
        </is>
      </c>
      <c r="C28" s="13" t="inlineStr">
        <is>
          <t>OpenAI</t>
        </is>
      </c>
      <c r="D28" s="13" t="inlineStr">
        <is>
          <t>GPT-5.x</t>
        </is>
      </c>
      <c r="E28" s="13" t="inlineStr">
        <is>
          <t>5.5-pro</t>
        </is>
      </c>
      <c r="F28" s="13" t="inlineStr">
        <is>
          <t>Current</t>
        </is>
      </c>
      <c r="G28" s="13" t="inlineStr">
        <is>
          <t>Flagship Reasoner (max compute)</t>
        </is>
      </c>
      <c r="H28" s="13" t="inlineStr">
        <is>
          <t>OpenAI API</t>
        </is>
      </c>
      <c r="I28" s="13" t="inlineStr">
        <is>
          <t>HTTP API</t>
        </is>
      </c>
      <c r="J28" s="13" t="inlineStr">
        <is>
          <t>No standalone key</t>
        </is>
      </c>
      <c r="K28" s="13" t="inlineStr">
        <is>
          <t>metered (not configured)</t>
        </is>
      </c>
      <c r="L28" s="13" t="inlineStr">
        <is>
          <t>No</t>
        </is>
      </c>
      <c r="M28" s="13" t="n">
        <v>9.5</v>
      </c>
      <c r="N28" s="13" t="n">
        <v>9.4</v>
      </c>
      <c r="O28" s="13" t="n">
        <v>9.300000000000001</v>
      </c>
      <c r="P28" s="13" t="n">
        <v>9</v>
      </c>
      <c r="Q28" s="13">
        <f>IFERROR(ROUND(AVERAGE(M28:P28),1),"")</f>
        <v/>
      </c>
      <c r="R28" s="13" t="n">
        <v>9.199999999999999</v>
      </c>
      <c r="S28" s="13" t="n">
        <v>9</v>
      </c>
      <c r="T28" s="13" t="n">
        <v>8.9</v>
      </c>
      <c r="U28" s="13" t="n">
        <v>9.1</v>
      </c>
      <c r="V28" s="13">
        <f>IFERROR(ROUND(AVERAGE(R28:U28),1),"")</f>
        <v/>
      </c>
      <c r="W28" s="13" t="n">
        <v>9.300000000000001</v>
      </c>
      <c r="X28" s="13" t="n">
        <v>9.300000000000001</v>
      </c>
      <c r="Y28" s="13" t="n">
        <v>8.9</v>
      </c>
      <c r="Z28" s="13" t="n">
        <v>9.199999999999999</v>
      </c>
      <c r="AA28" s="13">
        <f>IFERROR(ROUND(AVERAGE(W28:Z28),1),"")</f>
        <v/>
      </c>
      <c r="AB28" s="13" t="n">
        <v>8.800000000000001</v>
      </c>
      <c r="AC28" s="13" t="n">
        <v>8.800000000000001</v>
      </c>
      <c r="AD28" s="13" t="n">
        <v>8.699999999999999</v>
      </c>
      <c r="AE28" s="13" t="n">
        <v>8.6</v>
      </c>
      <c r="AF28" s="13">
        <f>IFERROR(ROUND(AVERAGE(AB28:AE28),1),"")</f>
        <v/>
      </c>
      <c r="AG28" s="13" t="n">
        <v>8.699999999999999</v>
      </c>
      <c r="AH28" s="13" t="n">
        <v>8</v>
      </c>
      <c r="AI28" s="13" t="n">
        <v>8.9</v>
      </c>
      <c r="AJ28" s="13" t="n">
        <v>9.1</v>
      </c>
      <c r="AK28" s="13">
        <f>IFERROR(ROUND(AVERAGE(AG28:AJ28),1),"")</f>
        <v/>
      </c>
      <c r="AL28" s="13" t="n">
        <v>9.1</v>
      </c>
      <c r="AM28" s="13" t="n">
        <v>9.1</v>
      </c>
      <c r="AN28" s="13" t="inlineStr"/>
      <c r="AO28" s="13">
        <f>IFERROR(ROUND(AVERAGE(AL28:AN28),1),"")</f>
        <v/>
      </c>
      <c r="AP28" s="13" t="n">
        <v>4.2</v>
      </c>
      <c r="AQ28" s="13" t="n">
        <v>3.8</v>
      </c>
      <c r="AR28" s="13" t="n">
        <v>10</v>
      </c>
      <c r="AS28" s="13" t="n">
        <v>3.2</v>
      </c>
      <c r="AT28" s="13">
        <f>IFERROR(ROUND(AVERAGE(AP28:AS28),1),"")</f>
        <v/>
      </c>
      <c r="AU28" s="13" t="n">
        <v>8.699999999999999</v>
      </c>
      <c r="AV28" s="13" t="n">
        <v>8.699999999999999</v>
      </c>
      <c r="AW28" s="13" t="n">
        <v>8.699999999999999</v>
      </c>
      <c r="AX28" s="13" t="n">
        <v>8.699999999999999</v>
      </c>
      <c r="AY28" s="13">
        <f>IFERROR(ROUND(AVERAGE(AU28:AX28),1),"")</f>
        <v/>
      </c>
      <c r="AZ28" s="13">
        <f>ROUND(0.19*N(Q28)+0.17*N(V28)+0.17*N(AA28)+0.1*N(AF28)+0.09*N(AK28)+0.12*N(AT28)+0.16*N(AY28),1)</f>
        <v/>
      </c>
      <c r="BA28" s="13" t="inlineStr">
        <is>
          <t>1M</t>
        </is>
      </c>
      <c r="BB28" s="13" t="n">
        <v>128000</v>
      </c>
      <c r="BC28" s="13" t="n">
        <v>15</v>
      </c>
      <c r="BD28" s="13" t="n">
        <v>120</v>
      </c>
      <c r="BE28" s="13" t="inlineStr">
        <is>
          <t>critical</t>
        </is>
      </c>
      <c r="BF28" s="13" t="n">
        <v>5</v>
      </c>
      <c r="BG28" s="13" t="n">
        <v>5</v>
      </c>
      <c r="BH28" s="13" t="inlineStr">
        <is>
          <t>Maximum-precision reasoning, hardest proofs/analysis</t>
        </is>
      </c>
      <c r="BI28" s="13" t="inlineStr">
        <is>
          <t>Latency- or cost-sensitive work</t>
        </is>
      </c>
      <c r="BJ28" s="14" t="inlineStr">
        <is>
          <t>H</t>
        </is>
      </c>
      <c r="BK28" s="13" t="inlineStr">
        <is>
          <t>Extended-compute GPT-5.5; benchmark-anchored (AA Index, SWE-bench, GPQA, ARC-AGI-2, Aider, MMMU 2026-06)</t>
        </is>
      </c>
      <c r="BL28" s="13" t="inlineStr">
        <is>
          <t>2026-06-07</t>
        </is>
      </c>
    </row>
    <row r="29">
      <c r="A29" s="13" t="inlineStr">
        <is>
          <t>gpt-5.5-pro</t>
        </is>
      </c>
      <c r="B29" s="13" t="inlineStr">
        <is>
          <t>GPT-5.5 Pro</t>
        </is>
      </c>
      <c r="C29" s="13" t="inlineStr">
        <is>
          <t>OpenAI</t>
        </is>
      </c>
      <c r="D29" s="13" t="inlineStr">
        <is>
          <t>GPT-5.x</t>
        </is>
      </c>
      <c r="E29" s="13" t="inlineStr">
        <is>
          <t>5.5-pro</t>
        </is>
      </c>
      <c r="F29" s="13" t="inlineStr">
        <is>
          <t>Current</t>
        </is>
      </c>
      <c r="G29" s="13" t="inlineStr">
        <is>
          <t>Flagship Reasoner (max compute)</t>
        </is>
      </c>
      <c r="H29" s="13" t="inlineStr">
        <is>
          <t>Codex CLI</t>
        </is>
      </c>
      <c r="I29" s="13" t="inlineStr">
        <is>
          <t>CLI</t>
        </is>
      </c>
      <c r="J29" s="13" t="inlineStr">
        <is>
          <t>Working (ChatGPT plan)</t>
        </is>
      </c>
      <c r="K29" s="13" t="inlineStr">
        <is>
          <t>subscription_included</t>
        </is>
      </c>
      <c r="L29" s="13" t="inlineStr">
        <is>
          <t>No</t>
        </is>
      </c>
      <c r="M29" s="13" t="n">
        <v>9.5</v>
      </c>
      <c r="N29" s="13" t="n">
        <v>9.4</v>
      </c>
      <c r="O29" s="13" t="n">
        <v>9.300000000000001</v>
      </c>
      <c r="P29" s="13" t="n">
        <v>9</v>
      </c>
      <c r="Q29" s="13">
        <f>IFERROR(ROUND(AVERAGE(M29:P29),1),"")</f>
        <v/>
      </c>
      <c r="R29" s="13" t="n">
        <v>9.199999999999999</v>
      </c>
      <c r="S29" s="13" t="n">
        <v>9</v>
      </c>
      <c r="T29" s="13" t="n">
        <v>8.9</v>
      </c>
      <c r="U29" s="13" t="n">
        <v>9.1</v>
      </c>
      <c r="V29" s="13">
        <f>IFERROR(ROUND(AVERAGE(R29:U29),1),"")</f>
        <v/>
      </c>
      <c r="W29" s="13" t="n">
        <v>9.300000000000001</v>
      </c>
      <c r="X29" s="13" t="n">
        <v>9.300000000000001</v>
      </c>
      <c r="Y29" s="13" t="n">
        <v>8.9</v>
      </c>
      <c r="Z29" s="13" t="n">
        <v>9.199999999999999</v>
      </c>
      <c r="AA29" s="13">
        <f>IFERROR(ROUND(AVERAGE(W29:Z29),1),"")</f>
        <v/>
      </c>
      <c r="AB29" s="13" t="n">
        <v>8.800000000000001</v>
      </c>
      <c r="AC29" s="13" t="n">
        <v>8.800000000000001</v>
      </c>
      <c r="AD29" s="13" t="n">
        <v>8.699999999999999</v>
      </c>
      <c r="AE29" s="13" t="n">
        <v>8.6</v>
      </c>
      <c r="AF29" s="13">
        <f>IFERROR(ROUND(AVERAGE(AB29:AE29),1),"")</f>
        <v/>
      </c>
      <c r="AG29" s="13" t="n">
        <v>8.699999999999999</v>
      </c>
      <c r="AH29" s="13" t="n">
        <v>8</v>
      </c>
      <c r="AI29" s="13" t="n">
        <v>8.9</v>
      </c>
      <c r="AJ29" s="13" t="n">
        <v>9.1</v>
      </c>
      <c r="AK29" s="13">
        <f>IFERROR(ROUND(AVERAGE(AG29:AJ29),1),"")</f>
        <v/>
      </c>
      <c r="AL29" s="13" t="n">
        <v>9.1</v>
      </c>
      <c r="AM29" s="13" t="n">
        <v>9.1</v>
      </c>
      <c r="AN29" s="13" t="inlineStr"/>
      <c r="AO29" s="13">
        <f>IFERROR(ROUND(AVERAGE(AL29:AN29),1),"")</f>
        <v/>
      </c>
      <c r="AP29" s="13" t="n">
        <v>4.2</v>
      </c>
      <c r="AQ29" s="13" t="n">
        <v>3.8</v>
      </c>
      <c r="AR29" s="13" t="n">
        <v>10</v>
      </c>
      <c r="AS29" s="13" t="n">
        <v>3.2</v>
      </c>
      <c r="AT29" s="13">
        <f>IFERROR(ROUND(AVERAGE(AP29:AS29),1),"")</f>
        <v/>
      </c>
      <c r="AU29" s="13" t="n">
        <v>8.699999999999999</v>
      </c>
      <c r="AV29" s="13" t="n">
        <v>8.699999999999999</v>
      </c>
      <c r="AW29" s="13" t="n">
        <v>8.699999999999999</v>
      </c>
      <c r="AX29" s="13" t="n">
        <v>8.699999999999999</v>
      </c>
      <c r="AY29" s="13">
        <f>IFERROR(ROUND(AVERAGE(AU29:AX29),1),"")</f>
        <v/>
      </c>
      <c r="AZ29" s="13">
        <f>ROUND(0.19*N(Q29)+0.17*N(V29)+0.17*N(AA29)+0.1*N(AF29)+0.09*N(AK29)+0.12*N(AT29)+0.16*N(AY29),1)</f>
        <v/>
      </c>
      <c r="BA29" s="13" t="inlineStr">
        <is>
          <t>1M</t>
        </is>
      </c>
      <c r="BB29" s="13" t="n">
        <v>128000</v>
      </c>
      <c r="BC29" s="13" t="n">
        <v>15</v>
      </c>
      <c r="BD29" s="13" t="n">
        <v>120</v>
      </c>
      <c r="BE29" s="13" t="inlineStr">
        <is>
          <t>critical</t>
        </is>
      </c>
      <c r="BF29" s="13" t="n">
        <v>5</v>
      </c>
      <c r="BG29" s="13" t="n">
        <v>5</v>
      </c>
      <c r="BH29" s="13" t="inlineStr">
        <is>
          <t>Maximum-precision reasoning, hardest proofs/analysis</t>
        </is>
      </c>
      <c r="BI29" s="13" t="inlineStr">
        <is>
          <t>Latency- or cost-sensitive work</t>
        </is>
      </c>
      <c r="BJ29" s="14" t="inlineStr">
        <is>
          <t>H</t>
        </is>
      </c>
      <c r="BK29" s="13" t="inlineStr">
        <is>
          <t>Extended-compute GPT-5.5; benchmark-anchored (AA Index, SWE-bench, GPQA, ARC-AGI-2, Aider, MMMU 2026-06)</t>
        </is>
      </c>
      <c r="BL29" s="13" t="inlineStr">
        <is>
          <t>2026-06-07</t>
        </is>
      </c>
    </row>
    <row r="30">
      <c r="A30" s="13" t="inlineStr">
        <is>
          <t>gpt-5.4</t>
        </is>
      </c>
      <c r="B30" s="13" t="inlineStr">
        <is>
          <t>GPT-5.4</t>
        </is>
      </c>
      <c r="C30" s="13" t="inlineStr">
        <is>
          <t>OpenAI</t>
        </is>
      </c>
      <c r="D30" s="13" t="inlineStr">
        <is>
          <t>GPT-5.x</t>
        </is>
      </c>
      <c r="E30" s="13" t="inlineStr">
        <is>
          <t>5.4</t>
        </is>
      </c>
      <c r="F30" s="13" t="inlineStr">
        <is>
          <t>Current</t>
        </is>
      </c>
      <c r="G30" s="13" t="inlineStr">
        <is>
          <t>Flagship/Workhorse</t>
        </is>
      </c>
      <c r="H30" s="13" t="inlineStr">
        <is>
          <t>OpenAI API</t>
        </is>
      </c>
      <c r="I30" s="13" t="inlineStr">
        <is>
          <t>HTTP API</t>
        </is>
      </c>
      <c r="J30" s="13" t="inlineStr">
        <is>
          <t>No standalone key</t>
        </is>
      </c>
      <c r="K30" s="13" t="inlineStr">
        <is>
          <t>metered (not configured)</t>
        </is>
      </c>
      <c r="L30" s="13" t="inlineStr">
        <is>
          <t>No</t>
        </is>
      </c>
      <c r="M30" s="13" t="n">
        <v>9.199999999999999</v>
      </c>
      <c r="N30" s="13" t="n">
        <v>9</v>
      </c>
      <c r="O30" s="13" t="n">
        <v>9</v>
      </c>
      <c r="P30" s="13" t="n">
        <v>8.9</v>
      </c>
      <c r="Q30" s="13">
        <f>IFERROR(ROUND(AVERAGE(M30:P30),1),"")</f>
        <v/>
      </c>
      <c r="R30" s="13" t="n">
        <v>9</v>
      </c>
      <c r="S30" s="13" t="n">
        <v>8.699999999999999</v>
      </c>
      <c r="T30" s="13" t="n">
        <v>8.6</v>
      </c>
      <c r="U30" s="13" t="n">
        <v>8.9</v>
      </c>
      <c r="V30" s="13">
        <f>IFERROR(ROUND(AVERAGE(R30:U30),1),"")</f>
        <v/>
      </c>
      <c r="W30" s="13" t="n">
        <v>9</v>
      </c>
      <c r="X30" s="13" t="n">
        <v>9</v>
      </c>
      <c r="Y30" s="13" t="n">
        <v>8.6</v>
      </c>
      <c r="Z30" s="13" t="n">
        <v>9</v>
      </c>
      <c r="AA30" s="13">
        <f>IFERROR(ROUND(AVERAGE(W30:Z30),1),"")</f>
        <v/>
      </c>
      <c r="AB30" s="13" t="n">
        <v>8.699999999999999</v>
      </c>
      <c r="AC30" s="13" t="n">
        <v>8.699999999999999</v>
      </c>
      <c r="AD30" s="13" t="n">
        <v>8.6</v>
      </c>
      <c r="AE30" s="13" t="n">
        <v>8.5</v>
      </c>
      <c r="AF30" s="13">
        <f>IFERROR(ROUND(AVERAGE(AB30:AE30),1),"")</f>
        <v/>
      </c>
      <c r="AG30" s="13" t="n">
        <v>8.5</v>
      </c>
      <c r="AH30" s="13" t="n">
        <v>7.7</v>
      </c>
      <c r="AI30" s="13" t="n">
        <v>8.699999999999999</v>
      </c>
      <c r="AJ30" s="13" t="n">
        <v>8.9</v>
      </c>
      <c r="AK30" s="13">
        <f>IFERROR(ROUND(AVERAGE(AG30:AJ30),1),"")</f>
        <v/>
      </c>
      <c r="AL30" s="13" t="n">
        <v>9.199999999999999</v>
      </c>
      <c r="AM30" s="13" t="n">
        <v>9</v>
      </c>
      <c r="AN30" s="13" t="inlineStr"/>
      <c r="AO30" s="13">
        <f>IFERROR(ROUND(AVERAGE(AL30:AN30),1),"")</f>
        <v/>
      </c>
      <c r="AP30" s="13" t="n">
        <v>6.5</v>
      </c>
      <c r="AQ30" s="13" t="n">
        <v>6.5</v>
      </c>
      <c r="AR30" s="13" t="n">
        <v>10</v>
      </c>
      <c r="AS30" s="13" t="n">
        <v>5</v>
      </c>
      <c r="AT30" s="13">
        <f>IFERROR(ROUND(AVERAGE(AP30:AS30),1),"")</f>
        <v/>
      </c>
      <c r="AU30" s="13" t="n">
        <v>8.5</v>
      </c>
      <c r="AV30" s="13" t="n">
        <v>8.5</v>
      </c>
      <c r="AW30" s="13" t="n">
        <v>8.6</v>
      </c>
      <c r="AX30" s="13" t="n">
        <v>8.4</v>
      </c>
      <c r="AY30" s="13">
        <f>IFERROR(ROUND(AVERAGE(AU30:AX30),1),"")</f>
        <v/>
      </c>
      <c r="AZ30" s="13">
        <f>ROUND(0.19*N(Q30)+0.17*N(V30)+0.17*N(AA30)+0.1*N(AF30)+0.09*N(AK30)+0.12*N(AT30)+0.16*N(AY30),1)</f>
        <v/>
      </c>
      <c r="BA30" s="13" t="inlineStr">
        <is>
          <t>1M</t>
        </is>
      </c>
      <c r="BB30" s="13" t="n">
        <v>128000</v>
      </c>
      <c r="BC30" s="13" t="inlineStr"/>
      <c r="BD30" s="13" t="inlineStr"/>
      <c r="BE30" s="13" t="inlineStr">
        <is>
          <t>critical</t>
        </is>
      </c>
      <c r="BF30" s="13" t="n">
        <v>5</v>
      </c>
      <c r="BG30" s="13" t="n">
        <v>5</v>
      </c>
      <c r="BH30" s="13" t="inlineStr">
        <is>
          <t>Production agentic/coding workhorse, professional tasks</t>
        </is>
      </c>
      <c r="BI30" s="13" t="inlineStr"/>
      <c r="BJ30" s="14" t="inlineStr">
        <is>
          <t>H</t>
        </is>
      </c>
      <c r="BK30" s="13" t="inlineStr">
        <is>
          <t>ARC-AGI-2 73.3%; SWE-bench Pro 59.1%; MMMU-Pro 94% (Pro); benchmark-anchored (AA Index, SWE-bench, GPQA, ARC-AGI-2, Aider, MMMU 2026-06)</t>
        </is>
      </c>
      <c r="BL30" s="13" t="inlineStr">
        <is>
          <t>2026-06-07</t>
        </is>
      </c>
    </row>
    <row r="31">
      <c r="A31" s="13" t="inlineStr">
        <is>
          <t>gpt-5.4</t>
        </is>
      </c>
      <c r="B31" s="13" t="inlineStr">
        <is>
          <t>GPT-5.4</t>
        </is>
      </c>
      <c r="C31" s="13" t="inlineStr">
        <is>
          <t>OpenAI</t>
        </is>
      </c>
      <c r="D31" s="13" t="inlineStr">
        <is>
          <t>GPT-5.x</t>
        </is>
      </c>
      <c r="E31" s="13" t="inlineStr">
        <is>
          <t>5.4</t>
        </is>
      </c>
      <c r="F31" s="13" t="inlineStr">
        <is>
          <t>Current</t>
        </is>
      </c>
      <c r="G31" s="13" t="inlineStr">
        <is>
          <t>Flagship/Workhorse</t>
        </is>
      </c>
      <c r="H31" s="13" t="inlineStr">
        <is>
          <t>Codex CLI</t>
        </is>
      </c>
      <c r="I31" s="13" t="inlineStr">
        <is>
          <t>CLI</t>
        </is>
      </c>
      <c r="J31" s="13" t="inlineStr">
        <is>
          <t>Working (ChatGPT plan)</t>
        </is>
      </c>
      <c r="K31" s="13" t="inlineStr">
        <is>
          <t>subscription_included</t>
        </is>
      </c>
      <c r="L31" s="13" t="inlineStr">
        <is>
          <t>No</t>
        </is>
      </c>
      <c r="M31" s="13" t="n">
        <v>9.199999999999999</v>
      </c>
      <c r="N31" s="13" t="n">
        <v>9</v>
      </c>
      <c r="O31" s="13" t="n">
        <v>9</v>
      </c>
      <c r="P31" s="13" t="n">
        <v>8.9</v>
      </c>
      <c r="Q31" s="13">
        <f>IFERROR(ROUND(AVERAGE(M31:P31),1),"")</f>
        <v/>
      </c>
      <c r="R31" s="13" t="n">
        <v>9</v>
      </c>
      <c r="S31" s="13" t="n">
        <v>8.699999999999999</v>
      </c>
      <c r="T31" s="13" t="n">
        <v>8.6</v>
      </c>
      <c r="U31" s="13" t="n">
        <v>8.9</v>
      </c>
      <c r="V31" s="13">
        <f>IFERROR(ROUND(AVERAGE(R31:U31),1),"")</f>
        <v/>
      </c>
      <c r="W31" s="13" t="n">
        <v>9</v>
      </c>
      <c r="X31" s="13" t="n">
        <v>9</v>
      </c>
      <c r="Y31" s="13" t="n">
        <v>8.6</v>
      </c>
      <c r="Z31" s="13" t="n">
        <v>9</v>
      </c>
      <c r="AA31" s="13">
        <f>IFERROR(ROUND(AVERAGE(W31:Z31),1),"")</f>
        <v/>
      </c>
      <c r="AB31" s="13" t="n">
        <v>8.699999999999999</v>
      </c>
      <c r="AC31" s="13" t="n">
        <v>8.699999999999999</v>
      </c>
      <c r="AD31" s="13" t="n">
        <v>8.6</v>
      </c>
      <c r="AE31" s="13" t="n">
        <v>8.5</v>
      </c>
      <c r="AF31" s="13">
        <f>IFERROR(ROUND(AVERAGE(AB31:AE31),1),"")</f>
        <v/>
      </c>
      <c r="AG31" s="13" t="n">
        <v>8.5</v>
      </c>
      <c r="AH31" s="13" t="n">
        <v>7.7</v>
      </c>
      <c r="AI31" s="13" t="n">
        <v>8.699999999999999</v>
      </c>
      <c r="AJ31" s="13" t="n">
        <v>8.9</v>
      </c>
      <c r="AK31" s="13">
        <f>IFERROR(ROUND(AVERAGE(AG31:AJ31),1),"")</f>
        <v/>
      </c>
      <c r="AL31" s="13" t="n">
        <v>9.199999999999999</v>
      </c>
      <c r="AM31" s="13" t="n">
        <v>9</v>
      </c>
      <c r="AN31" s="13" t="inlineStr"/>
      <c r="AO31" s="13">
        <f>IFERROR(ROUND(AVERAGE(AL31:AN31),1),"")</f>
        <v/>
      </c>
      <c r="AP31" s="13" t="n">
        <v>6.5</v>
      </c>
      <c r="AQ31" s="13" t="n">
        <v>6.5</v>
      </c>
      <c r="AR31" s="13" t="n">
        <v>10</v>
      </c>
      <c r="AS31" s="13" t="n">
        <v>5</v>
      </c>
      <c r="AT31" s="13">
        <f>IFERROR(ROUND(AVERAGE(AP31:AS31),1),"")</f>
        <v/>
      </c>
      <c r="AU31" s="13" t="n">
        <v>8.5</v>
      </c>
      <c r="AV31" s="13" t="n">
        <v>8.5</v>
      </c>
      <c r="AW31" s="13" t="n">
        <v>8.6</v>
      </c>
      <c r="AX31" s="13" t="n">
        <v>8.4</v>
      </c>
      <c r="AY31" s="13">
        <f>IFERROR(ROUND(AVERAGE(AU31:AX31),1),"")</f>
        <v/>
      </c>
      <c r="AZ31" s="13">
        <f>ROUND(0.19*N(Q31)+0.17*N(V31)+0.17*N(AA31)+0.1*N(AF31)+0.09*N(AK31)+0.12*N(AT31)+0.16*N(AY31),1)</f>
        <v/>
      </c>
      <c r="BA31" s="13" t="inlineStr">
        <is>
          <t>1M</t>
        </is>
      </c>
      <c r="BB31" s="13" t="n">
        <v>128000</v>
      </c>
      <c r="BC31" s="13" t="inlineStr"/>
      <c r="BD31" s="13" t="inlineStr"/>
      <c r="BE31" s="13" t="inlineStr">
        <is>
          <t>critical</t>
        </is>
      </c>
      <c r="BF31" s="13" t="n">
        <v>5</v>
      </c>
      <c r="BG31" s="13" t="n">
        <v>5</v>
      </c>
      <c r="BH31" s="13" t="inlineStr">
        <is>
          <t>Production agentic/coding workhorse, professional tasks</t>
        </is>
      </c>
      <c r="BI31" s="13" t="inlineStr"/>
      <c r="BJ31" s="14" t="inlineStr">
        <is>
          <t>H</t>
        </is>
      </c>
      <c r="BK31" s="13" t="inlineStr">
        <is>
          <t>ARC-AGI-2 73.3%; SWE-bench Pro 59.1%; MMMU-Pro 94% (Pro); benchmark-anchored (AA Index, SWE-bench, GPQA, ARC-AGI-2, Aider, MMMU 2026-06)</t>
        </is>
      </c>
      <c r="BL31" s="13" t="inlineStr">
        <is>
          <t>2026-06-07</t>
        </is>
      </c>
    </row>
    <row r="32">
      <c r="A32" s="13" t="inlineStr">
        <is>
          <t>gpt-5.4</t>
        </is>
      </c>
      <c r="B32" s="13" t="inlineStr">
        <is>
          <t>GPT-5.4</t>
        </is>
      </c>
      <c r="C32" s="13" t="inlineStr">
        <is>
          <t>OpenAI</t>
        </is>
      </c>
      <c r="D32" s="13" t="inlineStr">
        <is>
          <t>GPT-5.x</t>
        </is>
      </c>
      <c r="E32" s="13" t="inlineStr">
        <is>
          <t>5.4</t>
        </is>
      </c>
      <c r="F32" s="13" t="inlineStr">
        <is>
          <t>Current</t>
        </is>
      </c>
      <c r="G32" s="13" t="inlineStr">
        <is>
          <t>Flagship/Workhorse</t>
        </is>
      </c>
      <c r="H32" s="13" t="inlineStr">
        <is>
          <t>GitHub Models (AI Toolkit)</t>
        </is>
      </c>
      <c r="I32" s="13" t="inlineStr">
        <is>
          <t>Aggregator</t>
        </is>
      </c>
      <c r="J32" s="13" t="inlineStr">
        <is>
          <t>Configured</t>
        </is>
      </c>
      <c r="K32" s="13" t="inlineStr">
        <is>
          <t>subscription_included</t>
        </is>
      </c>
      <c r="L32" s="13" t="inlineStr">
        <is>
          <t>No</t>
        </is>
      </c>
      <c r="M32" s="13" t="n">
        <v>9.199999999999999</v>
      </c>
      <c r="N32" s="13" t="n">
        <v>9</v>
      </c>
      <c r="O32" s="13" t="n">
        <v>9</v>
      </c>
      <c r="P32" s="13" t="n">
        <v>8.9</v>
      </c>
      <c r="Q32" s="13">
        <f>IFERROR(ROUND(AVERAGE(M32:P32),1),"")</f>
        <v/>
      </c>
      <c r="R32" s="13" t="n">
        <v>9</v>
      </c>
      <c r="S32" s="13" t="n">
        <v>8.699999999999999</v>
      </c>
      <c r="T32" s="13" t="n">
        <v>8.6</v>
      </c>
      <c r="U32" s="13" t="n">
        <v>8.9</v>
      </c>
      <c r="V32" s="13">
        <f>IFERROR(ROUND(AVERAGE(R32:U32),1),"")</f>
        <v/>
      </c>
      <c r="W32" s="13" t="n">
        <v>9</v>
      </c>
      <c r="X32" s="13" t="n">
        <v>9</v>
      </c>
      <c r="Y32" s="13" t="n">
        <v>8.6</v>
      </c>
      <c r="Z32" s="13" t="n">
        <v>9</v>
      </c>
      <c r="AA32" s="13">
        <f>IFERROR(ROUND(AVERAGE(W32:Z32),1),"")</f>
        <v/>
      </c>
      <c r="AB32" s="13" t="n">
        <v>8.699999999999999</v>
      </c>
      <c r="AC32" s="13" t="n">
        <v>8.699999999999999</v>
      </c>
      <c r="AD32" s="13" t="n">
        <v>8.6</v>
      </c>
      <c r="AE32" s="13" t="n">
        <v>8.5</v>
      </c>
      <c r="AF32" s="13">
        <f>IFERROR(ROUND(AVERAGE(AB32:AE32),1),"")</f>
        <v/>
      </c>
      <c r="AG32" s="13" t="n">
        <v>8.5</v>
      </c>
      <c r="AH32" s="13" t="n">
        <v>7.7</v>
      </c>
      <c r="AI32" s="13" t="n">
        <v>8.699999999999999</v>
      </c>
      <c r="AJ32" s="13" t="n">
        <v>8.9</v>
      </c>
      <c r="AK32" s="13">
        <f>IFERROR(ROUND(AVERAGE(AG32:AJ32),1),"")</f>
        <v/>
      </c>
      <c r="AL32" s="13" t="n">
        <v>9.199999999999999</v>
      </c>
      <c r="AM32" s="13" t="n">
        <v>9</v>
      </c>
      <c r="AN32" s="13" t="inlineStr"/>
      <c r="AO32" s="13">
        <f>IFERROR(ROUND(AVERAGE(AL32:AN32),1),"")</f>
        <v/>
      </c>
      <c r="AP32" s="13" t="n">
        <v>6.5</v>
      </c>
      <c r="AQ32" s="13" t="n">
        <v>6.5</v>
      </c>
      <c r="AR32" s="13" t="n">
        <v>10</v>
      </c>
      <c r="AS32" s="13" t="n">
        <v>5</v>
      </c>
      <c r="AT32" s="13">
        <f>IFERROR(ROUND(AVERAGE(AP32:AS32),1),"")</f>
        <v/>
      </c>
      <c r="AU32" s="13" t="n">
        <v>8.5</v>
      </c>
      <c r="AV32" s="13" t="n">
        <v>8.5</v>
      </c>
      <c r="AW32" s="13" t="n">
        <v>8.6</v>
      </c>
      <c r="AX32" s="13" t="n">
        <v>8.4</v>
      </c>
      <c r="AY32" s="13">
        <f>IFERROR(ROUND(AVERAGE(AU32:AX32),1),"")</f>
        <v/>
      </c>
      <c r="AZ32" s="13">
        <f>ROUND(0.19*N(Q32)+0.17*N(V32)+0.17*N(AA32)+0.1*N(AF32)+0.09*N(AK32)+0.12*N(AT32)+0.16*N(AY32),1)</f>
        <v/>
      </c>
      <c r="BA32" s="13" t="inlineStr">
        <is>
          <t>1M</t>
        </is>
      </c>
      <c r="BB32" s="13" t="n">
        <v>128000</v>
      </c>
      <c r="BC32" s="13" t="inlineStr"/>
      <c r="BD32" s="13" t="inlineStr"/>
      <c r="BE32" s="13" t="inlineStr">
        <is>
          <t>critical</t>
        </is>
      </c>
      <c r="BF32" s="13" t="n">
        <v>5</v>
      </c>
      <c r="BG32" s="13" t="n">
        <v>5</v>
      </c>
      <c r="BH32" s="13" t="inlineStr">
        <is>
          <t>Production agentic/coding workhorse, professional tasks</t>
        </is>
      </c>
      <c r="BI32" s="13" t="inlineStr"/>
      <c r="BJ32" s="14" t="inlineStr">
        <is>
          <t>H</t>
        </is>
      </c>
      <c r="BK32" s="13" t="inlineStr">
        <is>
          <t>ARC-AGI-2 73.3%; SWE-bench Pro 59.1%; MMMU-Pro 94% (Pro); benchmark-anchored (AA Index, SWE-bench, GPQA, ARC-AGI-2, Aider, MMMU 2026-06)</t>
        </is>
      </c>
      <c r="BL32" s="13" t="inlineStr">
        <is>
          <t>2026-06-07</t>
        </is>
      </c>
    </row>
    <row r="33">
      <c r="A33" s="13" t="inlineStr">
        <is>
          <t>gpt-5.4</t>
        </is>
      </c>
      <c r="B33" s="13" t="inlineStr">
        <is>
          <t>GPT-5.4</t>
        </is>
      </c>
      <c r="C33" s="13" t="inlineStr">
        <is>
          <t>OpenAI</t>
        </is>
      </c>
      <c r="D33" s="13" t="inlineStr">
        <is>
          <t>GPT-5.x</t>
        </is>
      </c>
      <c r="E33" s="13" t="inlineStr">
        <is>
          <t>5.4</t>
        </is>
      </c>
      <c r="F33" s="13" t="inlineStr">
        <is>
          <t>Current</t>
        </is>
      </c>
      <c r="G33" s="13" t="inlineStr">
        <is>
          <t>Flagship/Workhorse</t>
        </is>
      </c>
      <c r="H33" s="13" t="inlineStr">
        <is>
          <t>GitHub Copilot CLI</t>
        </is>
      </c>
      <c r="I33" s="13" t="inlineStr">
        <is>
          <t>CLI</t>
        </is>
      </c>
      <c r="J33" s="13" t="inlineStr">
        <is>
          <t>Working (premium req)</t>
        </is>
      </c>
      <c r="K33" s="13" t="inlineStr">
        <is>
          <t>subscription_included</t>
        </is>
      </c>
      <c r="L33" s="13" t="inlineStr">
        <is>
          <t>No</t>
        </is>
      </c>
      <c r="M33" s="13" t="n">
        <v>9.199999999999999</v>
      </c>
      <c r="N33" s="13" t="n">
        <v>9</v>
      </c>
      <c r="O33" s="13" t="n">
        <v>9</v>
      </c>
      <c r="P33" s="13" t="n">
        <v>8.9</v>
      </c>
      <c r="Q33" s="13">
        <f>IFERROR(ROUND(AVERAGE(M33:P33),1),"")</f>
        <v/>
      </c>
      <c r="R33" s="13" t="n">
        <v>9</v>
      </c>
      <c r="S33" s="13" t="n">
        <v>8.699999999999999</v>
      </c>
      <c r="T33" s="13" t="n">
        <v>8.6</v>
      </c>
      <c r="U33" s="13" t="n">
        <v>8.9</v>
      </c>
      <c r="V33" s="13">
        <f>IFERROR(ROUND(AVERAGE(R33:U33),1),"")</f>
        <v/>
      </c>
      <c r="W33" s="13" t="n">
        <v>9</v>
      </c>
      <c r="X33" s="13" t="n">
        <v>9</v>
      </c>
      <c r="Y33" s="13" t="n">
        <v>8.6</v>
      </c>
      <c r="Z33" s="13" t="n">
        <v>9</v>
      </c>
      <c r="AA33" s="13">
        <f>IFERROR(ROUND(AVERAGE(W33:Z33),1),"")</f>
        <v/>
      </c>
      <c r="AB33" s="13" t="n">
        <v>8.699999999999999</v>
      </c>
      <c r="AC33" s="13" t="n">
        <v>8.699999999999999</v>
      </c>
      <c r="AD33" s="13" t="n">
        <v>8.6</v>
      </c>
      <c r="AE33" s="13" t="n">
        <v>8.5</v>
      </c>
      <c r="AF33" s="13">
        <f>IFERROR(ROUND(AVERAGE(AB33:AE33),1),"")</f>
        <v/>
      </c>
      <c r="AG33" s="13" t="n">
        <v>8.5</v>
      </c>
      <c r="AH33" s="13" t="n">
        <v>7.7</v>
      </c>
      <c r="AI33" s="13" t="n">
        <v>8.699999999999999</v>
      </c>
      <c r="AJ33" s="13" t="n">
        <v>8.9</v>
      </c>
      <c r="AK33" s="13">
        <f>IFERROR(ROUND(AVERAGE(AG33:AJ33),1),"")</f>
        <v/>
      </c>
      <c r="AL33" s="13" t="n">
        <v>9.199999999999999</v>
      </c>
      <c r="AM33" s="13" t="n">
        <v>9</v>
      </c>
      <c r="AN33" s="13" t="inlineStr"/>
      <c r="AO33" s="13">
        <f>IFERROR(ROUND(AVERAGE(AL33:AN33),1),"")</f>
        <v/>
      </c>
      <c r="AP33" s="13" t="n">
        <v>6.5</v>
      </c>
      <c r="AQ33" s="13" t="n">
        <v>6.5</v>
      </c>
      <c r="AR33" s="13" t="n">
        <v>10</v>
      </c>
      <c r="AS33" s="13" t="n">
        <v>5</v>
      </c>
      <c r="AT33" s="13">
        <f>IFERROR(ROUND(AVERAGE(AP33:AS33),1),"")</f>
        <v/>
      </c>
      <c r="AU33" s="13" t="n">
        <v>8.5</v>
      </c>
      <c r="AV33" s="13" t="n">
        <v>8.5</v>
      </c>
      <c r="AW33" s="13" t="n">
        <v>8.6</v>
      </c>
      <c r="AX33" s="13" t="n">
        <v>8.4</v>
      </c>
      <c r="AY33" s="13">
        <f>IFERROR(ROUND(AVERAGE(AU33:AX33),1),"")</f>
        <v/>
      </c>
      <c r="AZ33" s="13">
        <f>ROUND(0.19*N(Q33)+0.17*N(V33)+0.17*N(AA33)+0.1*N(AF33)+0.09*N(AK33)+0.12*N(AT33)+0.16*N(AY33),1)</f>
        <v/>
      </c>
      <c r="BA33" s="13" t="inlineStr">
        <is>
          <t>1M</t>
        </is>
      </c>
      <c r="BB33" s="13" t="n">
        <v>128000</v>
      </c>
      <c r="BC33" s="13" t="inlineStr"/>
      <c r="BD33" s="13" t="inlineStr"/>
      <c r="BE33" s="13" t="inlineStr">
        <is>
          <t>critical</t>
        </is>
      </c>
      <c r="BF33" s="13" t="n">
        <v>5</v>
      </c>
      <c r="BG33" s="13" t="n">
        <v>5</v>
      </c>
      <c r="BH33" s="13" t="inlineStr">
        <is>
          <t>Production agentic/coding workhorse, professional tasks</t>
        </is>
      </c>
      <c r="BI33" s="13" t="inlineStr"/>
      <c r="BJ33" s="14" t="inlineStr">
        <is>
          <t>H</t>
        </is>
      </c>
      <c r="BK33" s="13" t="inlineStr">
        <is>
          <t>ARC-AGI-2 73.3%; SWE-bench Pro 59.1%; MMMU-Pro 94% (Pro); benchmark-anchored (AA Index, SWE-bench, GPQA, ARC-AGI-2, Aider, MMMU 2026-06)</t>
        </is>
      </c>
      <c r="BL33" s="13" t="inlineStr">
        <is>
          <t>2026-06-07</t>
        </is>
      </c>
    </row>
    <row r="34">
      <c r="A34" s="13" t="inlineStr">
        <is>
          <t>gpt-5.1</t>
        </is>
      </c>
      <c r="B34" s="13" t="inlineStr">
        <is>
          <t>GPT-5.1</t>
        </is>
      </c>
      <c r="C34" s="13" t="inlineStr">
        <is>
          <t>OpenAI</t>
        </is>
      </c>
      <c r="D34" s="13" t="inlineStr">
        <is>
          <t>GPT-5.x</t>
        </is>
      </c>
      <c r="E34" s="13" t="inlineStr">
        <is>
          <t>5.1</t>
        </is>
      </c>
      <c r="F34" s="13" t="inlineStr">
        <is>
          <t>Current</t>
        </is>
      </c>
      <c r="G34" s="13" t="inlineStr">
        <is>
          <t>Coder/Agentic</t>
        </is>
      </c>
      <c r="H34" s="13" t="inlineStr">
        <is>
          <t>OpenAI API</t>
        </is>
      </c>
      <c r="I34" s="13" t="inlineStr">
        <is>
          <t>HTTP API</t>
        </is>
      </c>
      <c r="J34" s="13" t="inlineStr">
        <is>
          <t>No standalone key</t>
        </is>
      </c>
      <c r="K34" s="13" t="inlineStr">
        <is>
          <t>metered (not configured)</t>
        </is>
      </c>
      <c r="L34" s="13" t="inlineStr">
        <is>
          <t>No</t>
        </is>
      </c>
      <c r="M34" s="13" t="n">
        <v>8.800000000000001</v>
      </c>
      <c r="N34" s="13" t="n">
        <v>8.6</v>
      </c>
      <c r="O34" s="13" t="n">
        <v>8.6</v>
      </c>
      <c r="P34" s="13" t="n">
        <v>8.6</v>
      </c>
      <c r="Q34" s="13">
        <f>IFERROR(ROUND(AVERAGE(M34:P34),1),"")</f>
        <v/>
      </c>
      <c r="R34" s="13" t="n">
        <v>8.800000000000001</v>
      </c>
      <c r="S34" s="13" t="n">
        <v>8.4</v>
      </c>
      <c r="T34" s="13" t="n">
        <v>8.4</v>
      </c>
      <c r="U34" s="13" t="n">
        <v>8.699999999999999</v>
      </c>
      <c r="V34" s="13">
        <f>IFERROR(ROUND(AVERAGE(R34:U34),1),"")</f>
        <v/>
      </c>
      <c r="W34" s="13" t="n">
        <v>8.800000000000001</v>
      </c>
      <c r="X34" s="13" t="n">
        <v>8.800000000000001</v>
      </c>
      <c r="Y34" s="13" t="n">
        <v>8.4</v>
      </c>
      <c r="Z34" s="13" t="n">
        <v>8.800000000000001</v>
      </c>
      <c r="AA34" s="13">
        <f>IFERROR(ROUND(AVERAGE(W34:Z34),1),"")</f>
        <v/>
      </c>
      <c r="AB34" s="13" t="n">
        <v>8.4</v>
      </c>
      <c r="AC34" s="13" t="n">
        <v>8.4</v>
      </c>
      <c r="AD34" s="13" t="n">
        <v>8.4</v>
      </c>
      <c r="AE34" s="13" t="n">
        <v>8.4</v>
      </c>
      <c r="AF34" s="13">
        <f>IFERROR(ROUND(AVERAGE(AB34:AE34),1),"")</f>
        <v/>
      </c>
      <c r="AG34" s="13" t="n">
        <v>8.199999999999999</v>
      </c>
      <c r="AH34" s="13" t="n">
        <v>7.4</v>
      </c>
      <c r="AI34" s="13" t="n">
        <v>8.4</v>
      </c>
      <c r="AJ34" s="13" t="n">
        <v>8.6</v>
      </c>
      <c r="AK34" s="13">
        <f>IFERROR(ROUND(AVERAGE(AG34:AJ34),1),"")</f>
        <v/>
      </c>
      <c r="AL34" s="13" t="n">
        <v>8.6</v>
      </c>
      <c r="AM34" s="13" t="n">
        <v>8.6</v>
      </c>
      <c r="AN34" s="13" t="inlineStr"/>
      <c r="AO34" s="13">
        <f>IFERROR(ROUND(AVERAGE(AL34:AN34),1),"")</f>
        <v/>
      </c>
      <c r="AP34" s="13" t="n">
        <v>6.8</v>
      </c>
      <c r="AQ34" s="13" t="n">
        <v>6.8</v>
      </c>
      <c r="AR34" s="13" t="n">
        <v>10</v>
      </c>
      <c r="AS34" s="13" t="n">
        <v>5.5</v>
      </c>
      <c r="AT34" s="13">
        <f>IFERROR(ROUND(AVERAGE(AP34:AS34),1),"")</f>
        <v/>
      </c>
      <c r="AU34" s="13" t="n">
        <v>8.4</v>
      </c>
      <c r="AV34" s="13" t="n">
        <v>8.4</v>
      </c>
      <c r="AW34" s="13" t="n">
        <v>8.4</v>
      </c>
      <c r="AX34" s="13" t="n">
        <v>8.300000000000001</v>
      </c>
      <c r="AY34" s="13">
        <f>IFERROR(ROUND(AVERAGE(AU34:AX34),1),"")</f>
        <v/>
      </c>
      <c r="AZ34" s="13">
        <f>ROUND(0.19*N(Q34)+0.17*N(V34)+0.17*N(AA34)+0.1*N(AF34)+0.09*N(AK34)+0.12*N(AT34)+0.16*N(AY34),1)</f>
        <v/>
      </c>
      <c r="BA34" s="13" t="inlineStr">
        <is>
          <t>1M</t>
        </is>
      </c>
      <c r="BB34" s="13" t="n">
        <v>128000</v>
      </c>
      <c r="BC34" s="13" t="inlineStr"/>
      <c r="BD34" s="13" t="inlineStr"/>
      <c r="BE34" s="13" t="inlineStr">
        <is>
          <t>critical</t>
        </is>
      </c>
      <c r="BF34" s="13" t="n">
        <v>5</v>
      </c>
      <c r="BG34" s="13" t="n">
        <v>4</v>
      </c>
      <c r="BH34" s="13" t="inlineStr">
        <is>
          <t>Strong agentic/coding with configurable reasoning</t>
        </is>
      </c>
      <c r="BI34" s="13" t="inlineStr"/>
      <c r="BJ34" s="15" t="inlineStr">
        <is>
          <t>M</t>
        </is>
      </c>
      <c r="BK34" s="13" t="inlineStr">
        <is>
          <t>Prior GPT-5 gen; family-inherited estimate (scaled from flagship); verify before HIGH-stakes routing</t>
        </is>
      </c>
      <c r="BL34" s="13" t="inlineStr">
        <is>
          <t>2026-06-07</t>
        </is>
      </c>
    </row>
    <row r="35">
      <c r="A35" s="13" t="inlineStr">
        <is>
          <t>gpt-5.1</t>
        </is>
      </c>
      <c r="B35" s="13" t="inlineStr">
        <is>
          <t>GPT-5.1</t>
        </is>
      </c>
      <c r="C35" s="13" t="inlineStr">
        <is>
          <t>OpenAI</t>
        </is>
      </c>
      <c r="D35" s="13" t="inlineStr">
        <is>
          <t>GPT-5.x</t>
        </is>
      </c>
      <c r="E35" s="13" t="inlineStr">
        <is>
          <t>5.1</t>
        </is>
      </c>
      <c r="F35" s="13" t="inlineStr">
        <is>
          <t>Current</t>
        </is>
      </c>
      <c r="G35" s="13" t="inlineStr">
        <is>
          <t>Coder/Agentic</t>
        </is>
      </c>
      <c r="H35" s="13" t="inlineStr">
        <is>
          <t>Codex CLI</t>
        </is>
      </c>
      <c r="I35" s="13" t="inlineStr">
        <is>
          <t>CLI</t>
        </is>
      </c>
      <c r="J35" s="13" t="inlineStr">
        <is>
          <t>Working (ChatGPT plan)</t>
        </is>
      </c>
      <c r="K35" s="13" t="inlineStr">
        <is>
          <t>subscription_included</t>
        </is>
      </c>
      <c r="L35" s="13" t="inlineStr">
        <is>
          <t>No</t>
        </is>
      </c>
      <c r="M35" s="13" t="n">
        <v>8.800000000000001</v>
      </c>
      <c r="N35" s="13" t="n">
        <v>8.6</v>
      </c>
      <c r="O35" s="13" t="n">
        <v>8.6</v>
      </c>
      <c r="P35" s="13" t="n">
        <v>8.6</v>
      </c>
      <c r="Q35" s="13">
        <f>IFERROR(ROUND(AVERAGE(M35:P35),1),"")</f>
        <v/>
      </c>
      <c r="R35" s="13" t="n">
        <v>8.800000000000001</v>
      </c>
      <c r="S35" s="13" t="n">
        <v>8.4</v>
      </c>
      <c r="T35" s="13" t="n">
        <v>8.4</v>
      </c>
      <c r="U35" s="13" t="n">
        <v>8.699999999999999</v>
      </c>
      <c r="V35" s="13">
        <f>IFERROR(ROUND(AVERAGE(R35:U35),1),"")</f>
        <v/>
      </c>
      <c r="W35" s="13" t="n">
        <v>8.800000000000001</v>
      </c>
      <c r="X35" s="13" t="n">
        <v>8.800000000000001</v>
      </c>
      <c r="Y35" s="13" t="n">
        <v>8.4</v>
      </c>
      <c r="Z35" s="13" t="n">
        <v>8.800000000000001</v>
      </c>
      <c r="AA35" s="13">
        <f>IFERROR(ROUND(AVERAGE(W35:Z35),1),"")</f>
        <v/>
      </c>
      <c r="AB35" s="13" t="n">
        <v>8.4</v>
      </c>
      <c r="AC35" s="13" t="n">
        <v>8.4</v>
      </c>
      <c r="AD35" s="13" t="n">
        <v>8.4</v>
      </c>
      <c r="AE35" s="13" t="n">
        <v>8.4</v>
      </c>
      <c r="AF35" s="13">
        <f>IFERROR(ROUND(AVERAGE(AB35:AE35),1),"")</f>
        <v/>
      </c>
      <c r="AG35" s="13" t="n">
        <v>8.199999999999999</v>
      </c>
      <c r="AH35" s="13" t="n">
        <v>7.4</v>
      </c>
      <c r="AI35" s="13" t="n">
        <v>8.4</v>
      </c>
      <c r="AJ35" s="13" t="n">
        <v>8.6</v>
      </c>
      <c r="AK35" s="13">
        <f>IFERROR(ROUND(AVERAGE(AG35:AJ35),1),"")</f>
        <v/>
      </c>
      <c r="AL35" s="13" t="n">
        <v>8.6</v>
      </c>
      <c r="AM35" s="13" t="n">
        <v>8.6</v>
      </c>
      <c r="AN35" s="13" t="inlineStr"/>
      <c r="AO35" s="13">
        <f>IFERROR(ROUND(AVERAGE(AL35:AN35),1),"")</f>
        <v/>
      </c>
      <c r="AP35" s="13" t="n">
        <v>6.8</v>
      </c>
      <c r="AQ35" s="13" t="n">
        <v>6.8</v>
      </c>
      <c r="AR35" s="13" t="n">
        <v>10</v>
      </c>
      <c r="AS35" s="13" t="n">
        <v>5.5</v>
      </c>
      <c r="AT35" s="13">
        <f>IFERROR(ROUND(AVERAGE(AP35:AS35),1),"")</f>
        <v/>
      </c>
      <c r="AU35" s="13" t="n">
        <v>8.4</v>
      </c>
      <c r="AV35" s="13" t="n">
        <v>8.4</v>
      </c>
      <c r="AW35" s="13" t="n">
        <v>8.4</v>
      </c>
      <c r="AX35" s="13" t="n">
        <v>8.300000000000001</v>
      </c>
      <c r="AY35" s="13">
        <f>IFERROR(ROUND(AVERAGE(AU35:AX35),1),"")</f>
        <v/>
      </c>
      <c r="AZ35" s="13">
        <f>ROUND(0.19*N(Q35)+0.17*N(V35)+0.17*N(AA35)+0.1*N(AF35)+0.09*N(AK35)+0.12*N(AT35)+0.16*N(AY35),1)</f>
        <v/>
      </c>
      <c r="BA35" s="13" t="inlineStr">
        <is>
          <t>1M</t>
        </is>
      </c>
      <c r="BB35" s="13" t="n">
        <v>128000</v>
      </c>
      <c r="BC35" s="13" t="inlineStr"/>
      <c r="BD35" s="13" t="inlineStr"/>
      <c r="BE35" s="13" t="inlineStr">
        <is>
          <t>critical</t>
        </is>
      </c>
      <c r="BF35" s="13" t="n">
        <v>5</v>
      </c>
      <c r="BG35" s="13" t="n">
        <v>4</v>
      </c>
      <c r="BH35" s="13" t="inlineStr">
        <is>
          <t>Strong agentic/coding with configurable reasoning</t>
        </is>
      </c>
      <c r="BI35" s="13" t="inlineStr"/>
      <c r="BJ35" s="15" t="inlineStr">
        <is>
          <t>M</t>
        </is>
      </c>
      <c r="BK35" s="13" t="inlineStr">
        <is>
          <t>Prior GPT-5 gen; family-inherited estimate (scaled from flagship); verify before HIGH-stakes routing</t>
        </is>
      </c>
      <c r="BL35" s="13" t="inlineStr">
        <is>
          <t>2026-06-07</t>
        </is>
      </c>
    </row>
    <row r="36">
      <c r="A36" s="13" t="inlineStr">
        <is>
          <t>gpt-5.1</t>
        </is>
      </c>
      <c r="B36" s="13" t="inlineStr">
        <is>
          <t>GPT-5.1</t>
        </is>
      </c>
      <c r="C36" s="13" t="inlineStr">
        <is>
          <t>OpenAI</t>
        </is>
      </c>
      <c r="D36" s="13" t="inlineStr">
        <is>
          <t>GPT-5.x</t>
        </is>
      </c>
      <c r="E36" s="13" t="inlineStr">
        <is>
          <t>5.1</t>
        </is>
      </c>
      <c r="F36" s="13" t="inlineStr">
        <is>
          <t>Current</t>
        </is>
      </c>
      <c r="G36" s="13" t="inlineStr">
        <is>
          <t>Coder/Agentic</t>
        </is>
      </c>
      <c r="H36" s="13" t="inlineStr">
        <is>
          <t>GitHub Models (AI Toolkit)</t>
        </is>
      </c>
      <c r="I36" s="13" t="inlineStr">
        <is>
          <t>Aggregator</t>
        </is>
      </c>
      <c r="J36" s="13" t="inlineStr">
        <is>
          <t>Configured</t>
        </is>
      </c>
      <c r="K36" s="13" t="inlineStr">
        <is>
          <t>subscription_included</t>
        </is>
      </c>
      <c r="L36" s="13" t="inlineStr">
        <is>
          <t>No</t>
        </is>
      </c>
      <c r="M36" s="13" t="n">
        <v>8.800000000000001</v>
      </c>
      <c r="N36" s="13" t="n">
        <v>8.6</v>
      </c>
      <c r="O36" s="13" t="n">
        <v>8.6</v>
      </c>
      <c r="P36" s="13" t="n">
        <v>8.6</v>
      </c>
      <c r="Q36" s="13">
        <f>IFERROR(ROUND(AVERAGE(M36:P36),1),"")</f>
        <v/>
      </c>
      <c r="R36" s="13" t="n">
        <v>8.800000000000001</v>
      </c>
      <c r="S36" s="13" t="n">
        <v>8.4</v>
      </c>
      <c r="T36" s="13" t="n">
        <v>8.4</v>
      </c>
      <c r="U36" s="13" t="n">
        <v>8.699999999999999</v>
      </c>
      <c r="V36" s="13">
        <f>IFERROR(ROUND(AVERAGE(R36:U36),1),"")</f>
        <v/>
      </c>
      <c r="W36" s="13" t="n">
        <v>8.800000000000001</v>
      </c>
      <c r="X36" s="13" t="n">
        <v>8.800000000000001</v>
      </c>
      <c r="Y36" s="13" t="n">
        <v>8.4</v>
      </c>
      <c r="Z36" s="13" t="n">
        <v>8.800000000000001</v>
      </c>
      <c r="AA36" s="13">
        <f>IFERROR(ROUND(AVERAGE(W36:Z36),1),"")</f>
        <v/>
      </c>
      <c r="AB36" s="13" t="n">
        <v>8.4</v>
      </c>
      <c r="AC36" s="13" t="n">
        <v>8.4</v>
      </c>
      <c r="AD36" s="13" t="n">
        <v>8.4</v>
      </c>
      <c r="AE36" s="13" t="n">
        <v>8.4</v>
      </c>
      <c r="AF36" s="13">
        <f>IFERROR(ROUND(AVERAGE(AB36:AE36),1),"")</f>
        <v/>
      </c>
      <c r="AG36" s="13" t="n">
        <v>8.199999999999999</v>
      </c>
      <c r="AH36" s="13" t="n">
        <v>7.4</v>
      </c>
      <c r="AI36" s="13" t="n">
        <v>8.4</v>
      </c>
      <c r="AJ36" s="13" t="n">
        <v>8.6</v>
      </c>
      <c r="AK36" s="13">
        <f>IFERROR(ROUND(AVERAGE(AG36:AJ36),1),"")</f>
        <v/>
      </c>
      <c r="AL36" s="13" t="n">
        <v>8.6</v>
      </c>
      <c r="AM36" s="13" t="n">
        <v>8.6</v>
      </c>
      <c r="AN36" s="13" t="inlineStr"/>
      <c r="AO36" s="13">
        <f>IFERROR(ROUND(AVERAGE(AL36:AN36),1),"")</f>
        <v/>
      </c>
      <c r="AP36" s="13" t="n">
        <v>6.8</v>
      </c>
      <c r="AQ36" s="13" t="n">
        <v>6.8</v>
      </c>
      <c r="AR36" s="13" t="n">
        <v>10</v>
      </c>
      <c r="AS36" s="13" t="n">
        <v>5.5</v>
      </c>
      <c r="AT36" s="13">
        <f>IFERROR(ROUND(AVERAGE(AP36:AS36),1),"")</f>
        <v/>
      </c>
      <c r="AU36" s="13" t="n">
        <v>8.4</v>
      </c>
      <c r="AV36" s="13" t="n">
        <v>8.4</v>
      </c>
      <c r="AW36" s="13" t="n">
        <v>8.4</v>
      </c>
      <c r="AX36" s="13" t="n">
        <v>8.300000000000001</v>
      </c>
      <c r="AY36" s="13">
        <f>IFERROR(ROUND(AVERAGE(AU36:AX36),1),"")</f>
        <v/>
      </c>
      <c r="AZ36" s="13">
        <f>ROUND(0.19*N(Q36)+0.17*N(V36)+0.17*N(AA36)+0.1*N(AF36)+0.09*N(AK36)+0.12*N(AT36)+0.16*N(AY36),1)</f>
        <v/>
      </c>
      <c r="BA36" s="13" t="inlineStr">
        <is>
          <t>1M</t>
        </is>
      </c>
      <c r="BB36" s="13" t="n">
        <v>128000</v>
      </c>
      <c r="BC36" s="13" t="inlineStr"/>
      <c r="BD36" s="13" t="inlineStr"/>
      <c r="BE36" s="13" t="inlineStr">
        <is>
          <t>critical</t>
        </is>
      </c>
      <c r="BF36" s="13" t="n">
        <v>5</v>
      </c>
      <c r="BG36" s="13" t="n">
        <v>4</v>
      </c>
      <c r="BH36" s="13" t="inlineStr">
        <is>
          <t>Strong agentic/coding with configurable reasoning</t>
        </is>
      </c>
      <c r="BI36" s="13" t="inlineStr"/>
      <c r="BJ36" s="15" t="inlineStr">
        <is>
          <t>M</t>
        </is>
      </c>
      <c r="BK36" s="13" t="inlineStr">
        <is>
          <t>Prior GPT-5 gen; family-inherited estimate (scaled from flagship); verify before HIGH-stakes routing</t>
        </is>
      </c>
      <c r="BL36" s="13" t="inlineStr">
        <is>
          <t>2026-06-07</t>
        </is>
      </c>
    </row>
    <row r="37">
      <c r="A37" s="13" t="inlineStr">
        <is>
          <t>gpt-5</t>
        </is>
      </c>
      <c r="B37" s="13" t="inlineStr">
        <is>
          <t>GPT-5</t>
        </is>
      </c>
      <c r="C37" s="13" t="inlineStr">
        <is>
          <t>OpenAI</t>
        </is>
      </c>
      <c r="D37" s="13" t="inlineStr">
        <is>
          <t>GPT-5.x</t>
        </is>
      </c>
      <c r="E37" s="13" t="inlineStr">
        <is>
          <t>5</t>
        </is>
      </c>
      <c r="F37" s="13" t="inlineStr">
        <is>
          <t>Legacy</t>
        </is>
      </c>
      <c r="G37" s="13" t="inlineStr">
        <is>
          <t>Flagship (prior)</t>
        </is>
      </c>
      <c r="H37" s="13" t="inlineStr">
        <is>
          <t>OpenAI API</t>
        </is>
      </c>
      <c r="I37" s="13" t="inlineStr">
        <is>
          <t>HTTP API</t>
        </is>
      </c>
      <c r="J37" s="13" t="inlineStr">
        <is>
          <t>No standalone key</t>
        </is>
      </c>
      <c r="K37" s="13" t="inlineStr">
        <is>
          <t>metered (not configured)</t>
        </is>
      </c>
      <c r="L37" s="13" t="inlineStr">
        <is>
          <t>No</t>
        </is>
      </c>
      <c r="M37" s="13" t="n">
        <v>8.6</v>
      </c>
      <c r="N37" s="13" t="n">
        <v>8.4</v>
      </c>
      <c r="O37" s="13" t="n">
        <v>8.4</v>
      </c>
      <c r="P37" s="13" t="n">
        <v>8.6</v>
      </c>
      <c r="Q37" s="13">
        <f>IFERROR(ROUND(AVERAGE(M37:P37),1),"")</f>
        <v/>
      </c>
      <c r="R37" s="13" t="n">
        <v>8.4</v>
      </c>
      <c r="S37" s="13" t="n">
        <v>8</v>
      </c>
      <c r="T37" s="13" t="n">
        <v>8</v>
      </c>
      <c r="U37" s="13" t="n">
        <v>8.4</v>
      </c>
      <c r="V37" s="13">
        <f>IFERROR(ROUND(AVERAGE(R37:U37),1),"")</f>
        <v/>
      </c>
      <c r="W37" s="13" t="n">
        <v>8.4</v>
      </c>
      <c r="X37" s="13" t="n">
        <v>8.4</v>
      </c>
      <c r="Y37" s="13" t="n">
        <v>8</v>
      </c>
      <c r="Z37" s="13" t="n">
        <v>8.6</v>
      </c>
      <c r="AA37" s="13">
        <f>IFERROR(ROUND(AVERAGE(W37:Z37),1),"")</f>
        <v/>
      </c>
      <c r="AB37" s="13" t="n">
        <v>8.199999999999999</v>
      </c>
      <c r="AC37" s="13" t="n">
        <v>8.199999999999999</v>
      </c>
      <c r="AD37" s="13" t="n">
        <v>8.199999999999999</v>
      </c>
      <c r="AE37" s="13" t="n">
        <v>8.199999999999999</v>
      </c>
      <c r="AF37" s="13">
        <f>IFERROR(ROUND(AVERAGE(AB37:AE37),1),"")</f>
        <v/>
      </c>
      <c r="AG37" s="13" t="n">
        <v>8</v>
      </c>
      <c r="AH37" s="13" t="n">
        <v>7.2</v>
      </c>
      <c r="AI37" s="13" t="n">
        <v>8.199999999999999</v>
      </c>
      <c r="AJ37" s="13" t="n">
        <v>8.4</v>
      </c>
      <c r="AK37" s="13">
        <f>IFERROR(ROUND(AVERAGE(AG37:AJ37),1),"")</f>
        <v/>
      </c>
      <c r="AL37" s="13" t="n">
        <v>8.4</v>
      </c>
      <c r="AM37" s="13" t="n">
        <v>8.4</v>
      </c>
      <c r="AN37" s="13" t="inlineStr"/>
      <c r="AO37" s="13">
        <f>IFERROR(ROUND(AVERAGE(AL37:AN37),1),"")</f>
        <v/>
      </c>
      <c r="AP37" s="13" t="n">
        <v>6.8</v>
      </c>
      <c r="AQ37" s="13" t="n">
        <v>6.8</v>
      </c>
      <c r="AR37" s="13" t="n">
        <v>10</v>
      </c>
      <c r="AS37" s="13" t="n">
        <v>5.5</v>
      </c>
      <c r="AT37" s="13">
        <f>IFERROR(ROUND(AVERAGE(AP37:AS37),1),"")</f>
        <v/>
      </c>
      <c r="AU37" s="13" t="n">
        <v>8.199999999999999</v>
      </c>
      <c r="AV37" s="13" t="n">
        <v>8.300000000000001</v>
      </c>
      <c r="AW37" s="13" t="n">
        <v>8.4</v>
      </c>
      <c r="AX37" s="13" t="n">
        <v>8.199999999999999</v>
      </c>
      <c r="AY37" s="13">
        <f>IFERROR(ROUND(AVERAGE(AU37:AX37),1),"")</f>
        <v/>
      </c>
      <c r="AZ37" s="13">
        <f>ROUND(0.19*N(Q37)+0.17*N(V37)+0.17*N(AA37)+0.1*N(AF37)+0.09*N(AK37)+0.12*N(AT37)+0.16*N(AY37),1)</f>
        <v/>
      </c>
      <c r="BA37" s="13" t="inlineStr">
        <is>
          <t>1M</t>
        </is>
      </c>
      <c r="BB37" s="13" t="n">
        <v>128000</v>
      </c>
      <c r="BC37" s="13" t="inlineStr"/>
      <c r="BD37" s="13" t="inlineStr"/>
      <c r="BE37" s="13" t="inlineStr">
        <is>
          <t>high</t>
        </is>
      </c>
      <c r="BF37" s="13" t="n">
        <v>4</v>
      </c>
      <c r="BG37" s="13" t="n">
        <v>4</v>
      </c>
      <c r="BH37" s="13" t="inlineStr">
        <is>
          <t>Prior frontier; configurable reasoning effort</t>
        </is>
      </c>
      <c r="BI37" s="13" t="inlineStr"/>
      <c r="BJ37" s="15" t="inlineStr">
        <is>
          <t>M</t>
        </is>
      </c>
      <c r="BK37" s="13" t="inlineStr">
        <is>
          <t>First GPT-5; family-inherited estimate (scaled from flagship); verify before HIGH-stakes routing</t>
        </is>
      </c>
      <c r="BL37" s="13" t="inlineStr">
        <is>
          <t>2026-06-07</t>
        </is>
      </c>
    </row>
    <row r="38">
      <c r="A38" s="13" t="inlineStr">
        <is>
          <t>gpt-5</t>
        </is>
      </c>
      <c r="B38" s="13" t="inlineStr">
        <is>
          <t>GPT-5</t>
        </is>
      </c>
      <c r="C38" s="13" t="inlineStr">
        <is>
          <t>OpenAI</t>
        </is>
      </c>
      <c r="D38" s="13" t="inlineStr">
        <is>
          <t>GPT-5.x</t>
        </is>
      </c>
      <c r="E38" s="13" t="inlineStr">
        <is>
          <t>5</t>
        </is>
      </c>
      <c r="F38" s="13" t="inlineStr">
        <is>
          <t>Legacy</t>
        </is>
      </c>
      <c r="G38" s="13" t="inlineStr">
        <is>
          <t>Flagship (prior)</t>
        </is>
      </c>
      <c r="H38" s="13" t="inlineStr">
        <is>
          <t>GitHub Models (AI Toolkit)</t>
        </is>
      </c>
      <c r="I38" s="13" t="inlineStr">
        <is>
          <t>Aggregator</t>
        </is>
      </c>
      <c r="J38" s="13" t="inlineStr">
        <is>
          <t>Configured</t>
        </is>
      </c>
      <c r="K38" s="13" t="inlineStr">
        <is>
          <t>subscription_included</t>
        </is>
      </c>
      <c r="L38" s="13" t="inlineStr">
        <is>
          <t>No</t>
        </is>
      </c>
      <c r="M38" s="13" t="n">
        <v>8.6</v>
      </c>
      <c r="N38" s="13" t="n">
        <v>8.4</v>
      </c>
      <c r="O38" s="13" t="n">
        <v>8.4</v>
      </c>
      <c r="P38" s="13" t="n">
        <v>8.6</v>
      </c>
      <c r="Q38" s="13">
        <f>IFERROR(ROUND(AVERAGE(M38:P38),1),"")</f>
        <v/>
      </c>
      <c r="R38" s="13" t="n">
        <v>8.4</v>
      </c>
      <c r="S38" s="13" t="n">
        <v>8</v>
      </c>
      <c r="T38" s="13" t="n">
        <v>8</v>
      </c>
      <c r="U38" s="13" t="n">
        <v>8.4</v>
      </c>
      <c r="V38" s="13">
        <f>IFERROR(ROUND(AVERAGE(R38:U38),1),"")</f>
        <v/>
      </c>
      <c r="W38" s="13" t="n">
        <v>8.4</v>
      </c>
      <c r="X38" s="13" t="n">
        <v>8.4</v>
      </c>
      <c r="Y38" s="13" t="n">
        <v>8</v>
      </c>
      <c r="Z38" s="13" t="n">
        <v>8.6</v>
      </c>
      <c r="AA38" s="13">
        <f>IFERROR(ROUND(AVERAGE(W38:Z38),1),"")</f>
        <v/>
      </c>
      <c r="AB38" s="13" t="n">
        <v>8.199999999999999</v>
      </c>
      <c r="AC38" s="13" t="n">
        <v>8.199999999999999</v>
      </c>
      <c r="AD38" s="13" t="n">
        <v>8.199999999999999</v>
      </c>
      <c r="AE38" s="13" t="n">
        <v>8.199999999999999</v>
      </c>
      <c r="AF38" s="13">
        <f>IFERROR(ROUND(AVERAGE(AB38:AE38),1),"")</f>
        <v/>
      </c>
      <c r="AG38" s="13" t="n">
        <v>8</v>
      </c>
      <c r="AH38" s="13" t="n">
        <v>7.2</v>
      </c>
      <c r="AI38" s="13" t="n">
        <v>8.199999999999999</v>
      </c>
      <c r="AJ38" s="13" t="n">
        <v>8.4</v>
      </c>
      <c r="AK38" s="13">
        <f>IFERROR(ROUND(AVERAGE(AG38:AJ38),1),"")</f>
        <v/>
      </c>
      <c r="AL38" s="13" t="n">
        <v>8.4</v>
      </c>
      <c r="AM38" s="13" t="n">
        <v>8.4</v>
      </c>
      <c r="AN38" s="13" t="inlineStr"/>
      <c r="AO38" s="13">
        <f>IFERROR(ROUND(AVERAGE(AL38:AN38),1),"")</f>
        <v/>
      </c>
      <c r="AP38" s="13" t="n">
        <v>6.8</v>
      </c>
      <c r="AQ38" s="13" t="n">
        <v>6.8</v>
      </c>
      <c r="AR38" s="13" t="n">
        <v>10</v>
      </c>
      <c r="AS38" s="13" t="n">
        <v>5.5</v>
      </c>
      <c r="AT38" s="13">
        <f>IFERROR(ROUND(AVERAGE(AP38:AS38),1),"")</f>
        <v/>
      </c>
      <c r="AU38" s="13" t="n">
        <v>8.199999999999999</v>
      </c>
      <c r="AV38" s="13" t="n">
        <v>8.300000000000001</v>
      </c>
      <c r="AW38" s="13" t="n">
        <v>8.4</v>
      </c>
      <c r="AX38" s="13" t="n">
        <v>8.199999999999999</v>
      </c>
      <c r="AY38" s="13">
        <f>IFERROR(ROUND(AVERAGE(AU38:AX38),1),"")</f>
        <v/>
      </c>
      <c r="AZ38" s="13">
        <f>ROUND(0.19*N(Q38)+0.17*N(V38)+0.17*N(AA38)+0.1*N(AF38)+0.09*N(AK38)+0.12*N(AT38)+0.16*N(AY38),1)</f>
        <v/>
      </c>
      <c r="BA38" s="13" t="inlineStr">
        <is>
          <t>1M</t>
        </is>
      </c>
      <c r="BB38" s="13" t="n">
        <v>128000</v>
      </c>
      <c r="BC38" s="13" t="inlineStr"/>
      <c r="BD38" s="13" t="inlineStr"/>
      <c r="BE38" s="13" t="inlineStr">
        <is>
          <t>high</t>
        </is>
      </c>
      <c r="BF38" s="13" t="n">
        <v>4</v>
      </c>
      <c r="BG38" s="13" t="n">
        <v>4</v>
      </c>
      <c r="BH38" s="13" t="inlineStr">
        <is>
          <t>Prior frontier; configurable reasoning effort</t>
        </is>
      </c>
      <c r="BI38" s="13" t="inlineStr"/>
      <c r="BJ38" s="15" t="inlineStr">
        <is>
          <t>M</t>
        </is>
      </c>
      <c r="BK38" s="13" t="inlineStr">
        <is>
          <t>First GPT-5; family-inherited estimate (scaled from flagship); verify before HIGH-stakes routing</t>
        </is>
      </c>
      <c r="BL38" s="13" t="inlineStr">
        <is>
          <t>2026-06-07</t>
        </is>
      </c>
    </row>
    <row r="39">
      <c r="A39" s="13" t="inlineStr">
        <is>
          <t>gpt-5</t>
        </is>
      </c>
      <c r="B39" s="13" t="inlineStr">
        <is>
          <t>GPT-5</t>
        </is>
      </c>
      <c r="C39" s="13" t="inlineStr">
        <is>
          <t>OpenAI</t>
        </is>
      </c>
      <c r="D39" s="13" t="inlineStr">
        <is>
          <t>GPT-5.x</t>
        </is>
      </c>
      <c r="E39" s="13" t="inlineStr">
        <is>
          <t>5</t>
        </is>
      </c>
      <c r="F39" s="13" t="inlineStr">
        <is>
          <t>Legacy</t>
        </is>
      </c>
      <c r="G39" s="13" t="inlineStr">
        <is>
          <t>Flagship (prior)</t>
        </is>
      </c>
      <c r="H39" s="13" t="inlineStr">
        <is>
          <t>Azure AI Foundry</t>
        </is>
      </c>
      <c r="I39" s="13" t="inlineStr">
        <is>
          <t>Aggregator</t>
        </is>
      </c>
      <c r="J39" s="13" t="inlineStr">
        <is>
          <t>Not credentialed</t>
        </is>
      </c>
      <c r="K39" s="13" t="inlineStr">
        <is>
          <t>metered (not configured)</t>
        </is>
      </c>
      <c r="L39" s="13" t="inlineStr">
        <is>
          <t>No</t>
        </is>
      </c>
      <c r="M39" s="13" t="n">
        <v>8.6</v>
      </c>
      <c r="N39" s="13" t="n">
        <v>8.4</v>
      </c>
      <c r="O39" s="13" t="n">
        <v>8.4</v>
      </c>
      <c r="P39" s="13" t="n">
        <v>8.6</v>
      </c>
      <c r="Q39" s="13">
        <f>IFERROR(ROUND(AVERAGE(M39:P39),1),"")</f>
        <v/>
      </c>
      <c r="R39" s="13" t="n">
        <v>8.4</v>
      </c>
      <c r="S39" s="13" t="n">
        <v>8</v>
      </c>
      <c r="T39" s="13" t="n">
        <v>8</v>
      </c>
      <c r="U39" s="13" t="n">
        <v>8.4</v>
      </c>
      <c r="V39" s="13">
        <f>IFERROR(ROUND(AVERAGE(R39:U39),1),"")</f>
        <v/>
      </c>
      <c r="W39" s="13" t="n">
        <v>8.4</v>
      </c>
      <c r="X39" s="13" t="n">
        <v>8.4</v>
      </c>
      <c r="Y39" s="13" t="n">
        <v>8</v>
      </c>
      <c r="Z39" s="13" t="n">
        <v>8.6</v>
      </c>
      <c r="AA39" s="13">
        <f>IFERROR(ROUND(AVERAGE(W39:Z39),1),"")</f>
        <v/>
      </c>
      <c r="AB39" s="13" t="n">
        <v>8.199999999999999</v>
      </c>
      <c r="AC39" s="13" t="n">
        <v>8.199999999999999</v>
      </c>
      <c r="AD39" s="13" t="n">
        <v>8.199999999999999</v>
      </c>
      <c r="AE39" s="13" t="n">
        <v>8.199999999999999</v>
      </c>
      <c r="AF39" s="13">
        <f>IFERROR(ROUND(AVERAGE(AB39:AE39),1),"")</f>
        <v/>
      </c>
      <c r="AG39" s="13" t="n">
        <v>8</v>
      </c>
      <c r="AH39" s="13" t="n">
        <v>7.2</v>
      </c>
      <c r="AI39" s="13" t="n">
        <v>8.199999999999999</v>
      </c>
      <c r="AJ39" s="13" t="n">
        <v>8.4</v>
      </c>
      <c r="AK39" s="13">
        <f>IFERROR(ROUND(AVERAGE(AG39:AJ39),1),"")</f>
        <v/>
      </c>
      <c r="AL39" s="13" t="n">
        <v>8.4</v>
      </c>
      <c r="AM39" s="13" t="n">
        <v>8.4</v>
      </c>
      <c r="AN39" s="13" t="inlineStr"/>
      <c r="AO39" s="13">
        <f>IFERROR(ROUND(AVERAGE(AL39:AN39),1),"")</f>
        <v/>
      </c>
      <c r="AP39" s="13" t="n">
        <v>6.8</v>
      </c>
      <c r="AQ39" s="13" t="n">
        <v>6.8</v>
      </c>
      <c r="AR39" s="13" t="n">
        <v>10</v>
      </c>
      <c r="AS39" s="13" t="n">
        <v>5.5</v>
      </c>
      <c r="AT39" s="13">
        <f>IFERROR(ROUND(AVERAGE(AP39:AS39),1),"")</f>
        <v/>
      </c>
      <c r="AU39" s="13" t="n">
        <v>8.199999999999999</v>
      </c>
      <c r="AV39" s="13" t="n">
        <v>8.300000000000001</v>
      </c>
      <c r="AW39" s="13" t="n">
        <v>8.4</v>
      </c>
      <c r="AX39" s="13" t="n">
        <v>8.199999999999999</v>
      </c>
      <c r="AY39" s="13">
        <f>IFERROR(ROUND(AVERAGE(AU39:AX39),1),"")</f>
        <v/>
      </c>
      <c r="AZ39" s="13">
        <f>ROUND(0.19*N(Q39)+0.17*N(V39)+0.17*N(AA39)+0.1*N(AF39)+0.09*N(AK39)+0.12*N(AT39)+0.16*N(AY39),1)</f>
        <v/>
      </c>
      <c r="BA39" s="13" t="inlineStr">
        <is>
          <t>1M</t>
        </is>
      </c>
      <c r="BB39" s="13" t="n">
        <v>128000</v>
      </c>
      <c r="BC39" s="13" t="inlineStr"/>
      <c r="BD39" s="13" t="inlineStr"/>
      <c r="BE39" s="13" t="inlineStr">
        <is>
          <t>high</t>
        </is>
      </c>
      <c r="BF39" s="13" t="n">
        <v>4</v>
      </c>
      <c r="BG39" s="13" t="n">
        <v>4</v>
      </c>
      <c r="BH39" s="13" t="inlineStr">
        <is>
          <t>Prior frontier; configurable reasoning effort</t>
        </is>
      </c>
      <c r="BI39" s="13" t="inlineStr"/>
      <c r="BJ39" s="15" t="inlineStr">
        <is>
          <t>M</t>
        </is>
      </c>
      <c r="BK39" s="13" t="inlineStr">
        <is>
          <t>First GPT-5; family-inherited estimate (scaled from flagship); verify before HIGH-stakes routing</t>
        </is>
      </c>
      <c r="BL39" s="13" t="inlineStr">
        <is>
          <t>2026-06-07</t>
        </is>
      </c>
    </row>
    <row r="40">
      <c r="A40" s="13" t="inlineStr">
        <is>
          <t>gpt-5-mini</t>
        </is>
      </c>
      <c r="B40" s="13" t="inlineStr">
        <is>
          <t>GPT-5 Mini</t>
        </is>
      </c>
      <c r="C40" s="13" t="inlineStr">
        <is>
          <t>OpenAI</t>
        </is>
      </c>
      <c r="D40" s="13" t="inlineStr">
        <is>
          <t>GPT-5.x</t>
        </is>
      </c>
      <c r="E40" s="13" t="inlineStr">
        <is>
          <t>5-mini</t>
        </is>
      </c>
      <c r="F40" s="13" t="inlineStr">
        <is>
          <t>Current</t>
        </is>
      </c>
      <c r="G40" s="13" t="inlineStr">
        <is>
          <t>Fast-Cheap</t>
        </is>
      </c>
      <c r="H40" s="13" t="inlineStr">
        <is>
          <t>OpenAI API</t>
        </is>
      </c>
      <c r="I40" s="13" t="inlineStr">
        <is>
          <t>HTTP API</t>
        </is>
      </c>
      <c r="J40" s="13" t="inlineStr">
        <is>
          <t>No standalone key</t>
        </is>
      </c>
      <c r="K40" s="13" t="inlineStr">
        <is>
          <t>metered (not configured)</t>
        </is>
      </c>
      <c r="L40" s="13" t="inlineStr">
        <is>
          <t>No</t>
        </is>
      </c>
      <c r="M40" s="13" t="n">
        <v>7.8</v>
      </c>
      <c r="N40" s="13" t="n">
        <v>7.4</v>
      </c>
      <c r="O40" s="13" t="n">
        <v>7.2</v>
      </c>
      <c r="P40" s="13" t="n">
        <v>7.6</v>
      </c>
      <c r="Q40" s="13">
        <f>IFERROR(ROUND(AVERAGE(M40:P40),1),"")</f>
        <v/>
      </c>
      <c r="R40" s="13" t="n">
        <v>7.8</v>
      </c>
      <c r="S40" s="13" t="n">
        <v>7.2</v>
      </c>
      <c r="T40" s="13" t="n">
        <v>7.2</v>
      </c>
      <c r="U40" s="13" t="n">
        <v>7.6</v>
      </c>
      <c r="V40" s="13">
        <f>IFERROR(ROUND(AVERAGE(R40:U40),1),"")</f>
        <v/>
      </c>
      <c r="W40" s="13" t="n">
        <v>7.8</v>
      </c>
      <c r="X40" s="13" t="n">
        <v>7.4</v>
      </c>
      <c r="Y40" s="13" t="n">
        <v>7</v>
      </c>
      <c r="Z40" s="13" t="n">
        <v>7.8</v>
      </c>
      <c r="AA40" s="13">
        <f>IFERROR(ROUND(AVERAGE(W40:Z40),1),"")</f>
        <v/>
      </c>
      <c r="AB40" s="13" t="n">
        <v>7.6</v>
      </c>
      <c r="AC40" s="13" t="n">
        <v>7.6</v>
      </c>
      <c r="AD40" s="13" t="n">
        <v>7.6</v>
      </c>
      <c r="AE40" s="13" t="n">
        <v>7.4</v>
      </c>
      <c r="AF40" s="13">
        <f>IFERROR(ROUND(AVERAGE(AB40:AE40),1),"")</f>
        <v/>
      </c>
      <c r="AG40" s="13" t="n">
        <v>7.2</v>
      </c>
      <c r="AH40" s="13" t="n">
        <v>6.4</v>
      </c>
      <c r="AI40" s="13" t="n">
        <v>7.6</v>
      </c>
      <c r="AJ40" s="13" t="n">
        <v>7.2</v>
      </c>
      <c r="AK40" s="13">
        <f>IFERROR(ROUND(AVERAGE(AG40:AJ40),1),"")</f>
        <v/>
      </c>
      <c r="AL40" s="13" t="n">
        <v>7.6</v>
      </c>
      <c r="AM40" s="13" t="n">
        <v>7.6</v>
      </c>
      <c r="AN40" s="13" t="inlineStr"/>
      <c r="AO40" s="13">
        <f>IFERROR(ROUND(AVERAGE(AL40:AN40),1),"")</f>
        <v/>
      </c>
      <c r="AP40" s="13" t="n">
        <v>8.6</v>
      </c>
      <c r="AQ40" s="13" t="n">
        <v>8.6</v>
      </c>
      <c r="AR40" s="13" t="n">
        <v>9</v>
      </c>
      <c r="AS40" s="13" t="n">
        <v>8</v>
      </c>
      <c r="AT40" s="13">
        <f>IFERROR(ROUND(AVERAGE(AP40:AS40),1),"")</f>
        <v/>
      </c>
      <c r="AU40" s="13" t="n">
        <v>7.8</v>
      </c>
      <c r="AV40" s="13" t="n">
        <v>7.8</v>
      </c>
      <c r="AW40" s="13" t="n">
        <v>8.199999999999999</v>
      </c>
      <c r="AX40" s="13" t="n">
        <v>7.6</v>
      </c>
      <c r="AY40" s="13">
        <f>IFERROR(ROUND(AVERAGE(AU40:AX40),1),"")</f>
        <v/>
      </c>
      <c r="AZ40" s="13">
        <f>ROUND(0.19*N(Q40)+0.17*N(V40)+0.17*N(AA40)+0.1*N(AF40)+0.09*N(AK40)+0.12*N(AT40)+0.16*N(AY40),1)</f>
        <v/>
      </c>
      <c r="BA40" s="13" t="inlineStr">
        <is>
          <t>400K</t>
        </is>
      </c>
      <c r="BB40" s="13" t="n">
        <v>64000</v>
      </c>
      <c r="BC40" s="13" t="inlineStr"/>
      <c r="BD40" s="13" t="inlineStr"/>
      <c r="BE40" s="13" t="inlineStr">
        <is>
          <t>high</t>
        </is>
      </c>
      <c r="BF40" s="13" t="n">
        <v>4</v>
      </c>
      <c r="BG40" s="13" t="n">
        <v>4</v>
      </c>
      <c r="BH40" s="13" t="inlineStr">
        <is>
          <t>Near-frontier at low latency/cost</t>
        </is>
      </c>
      <c r="BI40" s="13" t="inlineStr">
        <is>
          <t>Hardest reasoning</t>
        </is>
      </c>
      <c r="BJ40" s="15" t="inlineStr">
        <is>
          <t>M</t>
        </is>
      </c>
      <c r="BK40" s="13" t="inlineStr">
        <is>
          <t>Cost/latency-optimized GPT-5; family-inherited estimate (scaled from flagship); verify before HIGH-stakes routing</t>
        </is>
      </c>
      <c r="BL40" s="13" t="inlineStr">
        <is>
          <t>2026-06-07</t>
        </is>
      </c>
    </row>
    <row r="41">
      <c r="A41" s="13" t="inlineStr">
        <is>
          <t>gpt-5-mini</t>
        </is>
      </c>
      <c r="B41" s="13" t="inlineStr">
        <is>
          <t>GPT-5 Mini</t>
        </is>
      </c>
      <c r="C41" s="13" t="inlineStr">
        <is>
          <t>OpenAI</t>
        </is>
      </c>
      <c r="D41" s="13" t="inlineStr">
        <is>
          <t>GPT-5.x</t>
        </is>
      </c>
      <c r="E41" s="13" t="inlineStr">
        <is>
          <t>5-mini</t>
        </is>
      </c>
      <c r="F41" s="13" t="inlineStr">
        <is>
          <t>Current</t>
        </is>
      </c>
      <c r="G41" s="13" t="inlineStr">
        <is>
          <t>Fast-Cheap</t>
        </is>
      </c>
      <c r="H41" s="13" t="inlineStr">
        <is>
          <t>Codex CLI</t>
        </is>
      </c>
      <c r="I41" s="13" t="inlineStr">
        <is>
          <t>CLI</t>
        </is>
      </c>
      <c r="J41" s="13" t="inlineStr">
        <is>
          <t>Working (ChatGPT plan)</t>
        </is>
      </c>
      <c r="K41" s="13" t="inlineStr">
        <is>
          <t>subscription_included</t>
        </is>
      </c>
      <c r="L41" s="13" t="inlineStr">
        <is>
          <t>No</t>
        </is>
      </c>
      <c r="M41" s="13" t="n">
        <v>7.8</v>
      </c>
      <c r="N41" s="13" t="n">
        <v>7.4</v>
      </c>
      <c r="O41" s="13" t="n">
        <v>7.2</v>
      </c>
      <c r="P41" s="13" t="n">
        <v>7.6</v>
      </c>
      <c r="Q41" s="13">
        <f>IFERROR(ROUND(AVERAGE(M41:P41),1),"")</f>
        <v/>
      </c>
      <c r="R41" s="13" t="n">
        <v>7.8</v>
      </c>
      <c r="S41" s="13" t="n">
        <v>7.2</v>
      </c>
      <c r="T41" s="13" t="n">
        <v>7.2</v>
      </c>
      <c r="U41" s="13" t="n">
        <v>7.6</v>
      </c>
      <c r="V41" s="13">
        <f>IFERROR(ROUND(AVERAGE(R41:U41),1),"")</f>
        <v/>
      </c>
      <c r="W41" s="13" t="n">
        <v>7.8</v>
      </c>
      <c r="X41" s="13" t="n">
        <v>7.4</v>
      </c>
      <c r="Y41" s="13" t="n">
        <v>7</v>
      </c>
      <c r="Z41" s="13" t="n">
        <v>7.8</v>
      </c>
      <c r="AA41" s="13">
        <f>IFERROR(ROUND(AVERAGE(W41:Z41),1),"")</f>
        <v/>
      </c>
      <c r="AB41" s="13" t="n">
        <v>7.6</v>
      </c>
      <c r="AC41" s="13" t="n">
        <v>7.6</v>
      </c>
      <c r="AD41" s="13" t="n">
        <v>7.6</v>
      </c>
      <c r="AE41" s="13" t="n">
        <v>7.4</v>
      </c>
      <c r="AF41" s="13">
        <f>IFERROR(ROUND(AVERAGE(AB41:AE41),1),"")</f>
        <v/>
      </c>
      <c r="AG41" s="13" t="n">
        <v>7.2</v>
      </c>
      <c r="AH41" s="13" t="n">
        <v>6.4</v>
      </c>
      <c r="AI41" s="13" t="n">
        <v>7.6</v>
      </c>
      <c r="AJ41" s="13" t="n">
        <v>7.2</v>
      </c>
      <c r="AK41" s="13">
        <f>IFERROR(ROUND(AVERAGE(AG41:AJ41),1),"")</f>
        <v/>
      </c>
      <c r="AL41" s="13" t="n">
        <v>7.6</v>
      </c>
      <c r="AM41" s="13" t="n">
        <v>7.6</v>
      </c>
      <c r="AN41" s="13" t="inlineStr"/>
      <c r="AO41" s="13">
        <f>IFERROR(ROUND(AVERAGE(AL41:AN41),1),"")</f>
        <v/>
      </c>
      <c r="AP41" s="13" t="n">
        <v>8.6</v>
      </c>
      <c r="AQ41" s="13" t="n">
        <v>8.6</v>
      </c>
      <c r="AR41" s="13" t="n">
        <v>9</v>
      </c>
      <c r="AS41" s="13" t="n">
        <v>8</v>
      </c>
      <c r="AT41" s="13">
        <f>IFERROR(ROUND(AVERAGE(AP41:AS41),1),"")</f>
        <v/>
      </c>
      <c r="AU41" s="13" t="n">
        <v>7.8</v>
      </c>
      <c r="AV41" s="13" t="n">
        <v>7.8</v>
      </c>
      <c r="AW41" s="13" t="n">
        <v>8.199999999999999</v>
      </c>
      <c r="AX41" s="13" t="n">
        <v>7.6</v>
      </c>
      <c r="AY41" s="13">
        <f>IFERROR(ROUND(AVERAGE(AU41:AX41),1),"")</f>
        <v/>
      </c>
      <c r="AZ41" s="13">
        <f>ROUND(0.19*N(Q41)+0.17*N(V41)+0.17*N(AA41)+0.1*N(AF41)+0.09*N(AK41)+0.12*N(AT41)+0.16*N(AY41),1)</f>
        <v/>
      </c>
      <c r="BA41" s="13" t="inlineStr">
        <is>
          <t>400K</t>
        </is>
      </c>
      <c r="BB41" s="13" t="n">
        <v>64000</v>
      </c>
      <c r="BC41" s="13" t="inlineStr"/>
      <c r="BD41" s="13" t="inlineStr"/>
      <c r="BE41" s="13" t="inlineStr">
        <is>
          <t>high</t>
        </is>
      </c>
      <c r="BF41" s="13" t="n">
        <v>4</v>
      </c>
      <c r="BG41" s="13" t="n">
        <v>4</v>
      </c>
      <c r="BH41" s="13" t="inlineStr">
        <is>
          <t>Near-frontier at low latency/cost</t>
        </is>
      </c>
      <c r="BI41" s="13" t="inlineStr">
        <is>
          <t>Hardest reasoning</t>
        </is>
      </c>
      <c r="BJ41" s="15" t="inlineStr">
        <is>
          <t>M</t>
        </is>
      </c>
      <c r="BK41" s="13" t="inlineStr">
        <is>
          <t>Cost/latency-optimized GPT-5; family-inherited estimate (scaled from flagship); verify before HIGH-stakes routing</t>
        </is>
      </c>
      <c r="BL41" s="13" t="inlineStr">
        <is>
          <t>2026-06-07</t>
        </is>
      </c>
    </row>
    <row r="42">
      <c r="A42" s="13" t="inlineStr">
        <is>
          <t>gpt-5-mini</t>
        </is>
      </c>
      <c r="B42" s="13" t="inlineStr">
        <is>
          <t>GPT-5 Mini</t>
        </is>
      </c>
      <c r="C42" s="13" t="inlineStr">
        <is>
          <t>OpenAI</t>
        </is>
      </c>
      <c r="D42" s="13" t="inlineStr">
        <is>
          <t>GPT-5.x</t>
        </is>
      </c>
      <c r="E42" s="13" t="inlineStr">
        <is>
          <t>5-mini</t>
        </is>
      </c>
      <c r="F42" s="13" t="inlineStr">
        <is>
          <t>Current</t>
        </is>
      </c>
      <c r="G42" s="13" t="inlineStr">
        <is>
          <t>Fast-Cheap</t>
        </is>
      </c>
      <c r="H42" s="13" t="inlineStr">
        <is>
          <t>GitHub Models (AI Toolkit)</t>
        </is>
      </c>
      <c r="I42" s="13" t="inlineStr">
        <is>
          <t>Aggregator</t>
        </is>
      </c>
      <c r="J42" s="13" t="inlineStr">
        <is>
          <t>Configured</t>
        </is>
      </c>
      <c r="K42" s="13" t="inlineStr">
        <is>
          <t>subscription_included</t>
        </is>
      </c>
      <c r="L42" s="13" t="inlineStr">
        <is>
          <t>No</t>
        </is>
      </c>
      <c r="M42" s="13" t="n">
        <v>7.8</v>
      </c>
      <c r="N42" s="13" t="n">
        <v>7.4</v>
      </c>
      <c r="O42" s="13" t="n">
        <v>7.2</v>
      </c>
      <c r="P42" s="13" t="n">
        <v>7.6</v>
      </c>
      <c r="Q42" s="13">
        <f>IFERROR(ROUND(AVERAGE(M42:P42),1),"")</f>
        <v/>
      </c>
      <c r="R42" s="13" t="n">
        <v>7.8</v>
      </c>
      <c r="S42" s="13" t="n">
        <v>7.2</v>
      </c>
      <c r="T42" s="13" t="n">
        <v>7.2</v>
      </c>
      <c r="U42" s="13" t="n">
        <v>7.6</v>
      </c>
      <c r="V42" s="13">
        <f>IFERROR(ROUND(AVERAGE(R42:U42),1),"")</f>
        <v/>
      </c>
      <c r="W42" s="13" t="n">
        <v>7.8</v>
      </c>
      <c r="X42" s="13" t="n">
        <v>7.4</v>
      </c>
      <c r="Y42" s="13" t="n">
        <v>7</v>
      </c>
      <c r="Z42" s="13" t="n">
        <v>7.8</v>
      </c>
      <c r="AA42" s="13">
        <f>IFERROR(ROUND(AVERAGE(W42:Z42),1),"")</f>
        <v/>
      </c>
      <c r="AB42" s="13" t="n">
        <v>7.6</v>
      </c>
      <c r="AC42" s="13" t="n">
        <v>7.6</v>
      </c>
      <c r="AD42" s="13" t="n">
        <v>7.6</v>
      </c>
      <c r="AE42" s="13" t="n">
        <v>7.4</v>
      </c>
      <c r="AF42" s="13">
        <f>IFERROR(ROUND(AVERAGE(AB42:AE42),1),"")</f>
        <v/>
      </c>
      <c r="AG42" s="13" t="n">
        <v>7.2</v>
      </c>
      <c r="AH42" s="13" t="n">
        <v>6.4</v>
      </c>
      <c r="AI42" s="13" t="n">
        <v>7.6</v>
      </c>
      <c r="AJ42" s="13" t="n">
        <v>7.2</v>
      </c>
      <c r="AK42" s="13">
        <f>IFERROR(ROUND(AVERAGE(AG42:AJ42),1),"")</f>
        <v/>
      </c>
      <c r="AL42" s="13" t="n">
        <v>7.6</v>
      </c>
      <c r="AM42" s="13" t="n">
        <v>7.6</v>
      </c>
      <c r="AN42" s="13" t="inlineStr"/>
      <c r="AO42" s="13">
        <f>IFERROR(ROUND(AVERAGE(AL42:AN42),1),"")</f>
        <v/>
      </c>
      <c r="AP42" s="13" t="n">
        <v>8.6</v>
      </c>
      <c r="AQ42" s="13" t="n">
        <v>8.6</v>
      </c>
      <c r="AR42" s="13" t="n">
        <v>9</v>
      </c>
      <c r="AS42" s="13" t="n">
        <v>8</v>
      </c>
      <c r="AT42" s="13">
        <f>IFERROR(ROUND(AVERAGE(AP42:AS42),1),"")</f>
        <v/>
      </c>
      <c r="AU42" s="13" t="n">
        <v>7.8</v>
      </c>
      <c r="AV42" s="13" t="n">
        <v>7.8</v>
      </c>
      <c r="AW42" s="13" t="n">
        <v>8.199999999999999</v>
      </c>
      <c r="AX42" s="13" t="n">
        <v>7.6</v>
      </c>
      <c r="AY42" s="13">
        <f>IFERROR(ROUND(AVERAGE(AU42:AX42),1),"")</f>
        <v/>
      </c>
      <c r="AZ42" s="13">
        <f>ROUND(0.19*N(Q42)+0.17*N(V42)+0.17*N(AA42)+0.1*N(AF42)+0.09*N(AK42)+0.12*N(AT42)+0.16*N(AY42),1)</f>
        <v/>
      </c>
      <c r="BA42" s="13" t="inlineStr">
        <is>
          <t>400K</t>
        </is>
      </c>
      <c r="BB42" s="13" t="n">
        <v>64000</v>
      </c>
      <c r="BC42" s="13" t="inlineStr"/>
      <c r="BD42" s="13" t="inlineStr"/>
      <c r="BE42" s="13" t="inlineStr">
        <is>
          <t>high</t>
        </is>
      </c>
      <c r="BF42" s="13" t="n">
        <v>4</v>
      </c>
      <c r="BG42" s="13" t="n">
        <v>4</v>
      </c>
      <c r="BH42" s="13" t="inlineStr">
        <is>
          <t>Near-frontier at low latency/cost</t>
        </is>
      </c>
      <c r="BI42" s="13" t="inlineStr">
        <is>
          <t>Hardest reasoning</t>
        </is>
      </c>
      <c r="BJ42" s="15" t="inlineStr">
        <is>
          <t>M</t>
        </is>
      </c>
      <c r="BK42" s="13" t="inlineStr">
        <is>
          <t>Cost/latency-optimized GPT-5; family-inherited estimate (scaled from flagship); verify before HIGH-stakes routing</t>
        </is>
      </c>
      <c r="BL42" s="13" t="inlineStr">
        <is>
          <t>2026-06-07</t>
        </is>
      </c>
    </row>
    <row r="43">
      <c r="A43" s="13" t="inlineStr">
        <is>
          <t>gpt-5-nano</t>
        </is>
      </c>
      <c r="B43" s="13" t="inlineStr">
        <is>
          <t>GPT-5 Nano</t>
        </is>
      </c>
      <c r="C43" s="13" t="inlineStr">
        <is>
          <t>OpenAI</t>
        </is>
      </c>
      <c r="D43" s="13" t="inlineStr">
        <is>
          <t>GPT-5.x</t>
        </is>
      </c>
      <c r="E43" s="13" t="inlineStr">
        <is>
          <t>5-nano</t>
        </is>
      </c>
      <c r="F43" s="13" t="inlineStr">
        <is>
          <t>Current</t>
        </is>
      </c>
      <c r="G43" s="13" t="inlineStr">
        <is>
          <t>Fast-Cheap</t>
        </is>
      </c>
      <c r="H43" s="13" t="inlineStr">
        <is>
          <t>OpenAI API</t>
        </is>
      </c>
      <c r="I43" s="13" t="inlineStr">
        <is>
          <t>HTTP API</t>
        </is>
      </c>
      <c r="J43" s="13" t="inlineStr">
        <is>
          <t>No standalone key</t>
        </is>
      </c>
      <c r="K43" s="13" t="inlineStr">
        <is>
          <t>metered (not configured)</t>
        </is>
      </c>
      <c r="L43" s="13" t="inlineStr">
        <is>
          <t>No</t>
        </is>
      </c>
      <c r="M43" s="13" t="n">
        <v>6.8</v>
      </c>
      <c r="N43" s="13" t="n">
        <v>6.2</v>
      </c>
      <c r="O43" s="13" t="n">
        <v>6</v>
      </c>
      <c r="P43" s="13" t="n">
        <v>6.6</v>
      </c>
      <c r="Q43" s="13">
        <f>IFERROR(ROUND(AVERAGE(M43:P43),1),"")</f>
        <v/>
      </c>
      <c r="R43" s="13" t="n">
        <v>6.8</v>
      </c>
      <c r="S43" s="13" t="n">
        <v>6</v>
      </c>
      <c r="T43" s="13" t="n">
        <v>6</v>
      </c>
      <c r="U43" s="13" t="n">
        <v>6.6</v>
      </c>
      <c r="V43" s="13">
        <f>IFERROR(ROUND(AVERAGE(R43:U43),1),"")</f>
        <v/>
      </c>
      <c r="W43" s="13" t="n">
        <v>6.8</v>
      </c>
      <c r="X43" s="13" t="n">
        <v>6.2</v>
      </c>
      <c r="Y43" s="13" t="n">
        <v>5.6</v>
      </c>
      <c r="Z43" s="13" t="n">
        <v>6.8</v>
      </c>
      <c r="AA43" s="13">
        <f>IFERROR(ROUND(AVERAGE(W43:Z43),1),"")</f>
        <v/>
      </c>
      <c r="AB43" s="13" t="n">
        <v>6.8</v>
      </c>
      <c r="AC43" s="13" t="n">
        <v>6.8</v>
      </c>
      <c r="AD43" s="13" t="n">
        <v>6.8</v>
      </c>
      <c r="AE43" s="13" t="n">
        <v>6.6</v>
      </c>
      <c r="AF43" s="13">
        <f>IFERROR(ROUND(AVERAGE(AB43:AE43),1),"")</f>
        <v/>
      </c>
      <c r="AG43" s="13" t="n">
        <v>6.2</v>
      </c>
      <c r="AH43" s="13" t="n">
        <v>5.4</v>
      </c>
      <c r="AI43" s="13" t="n">
        <v>6.8</v>
      </c>
      <c r="AJ43" s="13" t="n">
        <v>6.2</v>
      </c>
      <c r="AK43" s="13">
        <f>IFERROR(ROUND(AVERAGE(AG43:AJ43),1),"")</f>
        <v/>
      </c>
      <c r="AL43" s="13" t="n">
        <v>6.6</v>
      </c>
      <c r="AM43" s="13" t="n">
        <v>6.6</v>
      </c>
      <c r="AN43" s="13" t="inlineStr"/>
      <c r="AO43" s="13">
        <f>IFERROR(ROUND(AVERAGE(AL43:AN43),1),"")</f>
        <v/>
      </c>
      <c r="AP43" s="13" t="n">
        <v>9.199999999999999</v>
      </c>
      <c r="AQ43" s="13" t="n">
        <v>9.199999999999999</v>
      </c>
      <c r="AR43" s="13" t="n">
        <v>8</v>
      </c>
      <c r="AS43" s="13" t="n">
        <v>8.6</v>
      </c>
      <c r="AT43" s="13">
        <f>IFERROR(ROUND(AVERAGE(AP43:AS43),1),"")</f>
        <v/>
      </c>
      <c r="AU43" s="13" t="n">
        <v>7</v>
      </c>
      <c r="AV43" s="13" t="n">
        <v>7.2</v>
      </c>
      <c r="AW43" s="13" t="n">
        <v>8</v>
      </c>
      <c r="AX43" s="13" t="n">
        <v>7</v>
      </c>
      <c r="AY43" s="13">
        <f>IFERROR(ROUND(AVERAGE(AU43:AX43),1),"")</f>
        <v/>
      </c>
      <c r="AZ43" s="13">
        <f>ROUND(0.19*N(Q43)+0.17*N(V43)+0.17*N(AA43)+0.1*N(AF43)+0.09*N(AK43)+0.12*N(AT43)+0.16*N(AY43),1)</f>
        <v/>
      </c>
      <c r="BA43" s="13" t="inlineStr">
        <is>
          <t>400K</t>
        </is>
      </c>
      <c r="BB43" s="13" t="n">
        <v>64000</v>
      </c>
      <c r="BC43" s="13" t="inlineStr"/>
      <c r="BD43" s="13" t="inlineStr"/>
      <c r="BE43" s="13" t="inlineStr">
        <is>
          <t>medium</t>
        </is>
      </c>
      <c r="BF43" s="13" t="n">
        <v>3</v>
      </c>
      <c r="BG43" s="13" t="n">
        <v>3</v>
      </c>
      <c r="BH43" s="13" t="inlineStr">
        <is>
          <t>Cheapest/fastest GPT-5 for simple classification</t>
        </is>
      </c>
      <c r="BI43" s="13" t="inlineStr">
        <is>
          <t>Anything needing depth</t>
        </is>
      </c>
      <c r="BJ43" s="15" t="inlineStr">
        <is>
          <t>M</t>
        </is>
      </c>
      <c r="BK43" s="13" t="inlineStr">
        <is>
          <t>Fastest GPT-5 tier; family-inherited estimate (scaled from flagship); verify before HIGH-stakes routing</t>
        </is>
      </c>
      <c r="BL43" s="13" t="inlineStr">
        <is>
          <t>2026-06-07</t>
        </is>
      </c>
    </row>
    <row r="44">
      <c r="A44" s="13" t="inlineStr">
        <is>
          <t>gpt-5-nano</t>
        </is>
      </c>
      <c r="B44" s="13" t="inlineStr">
        <is>
          <t>GPT-5 Nano</t>
        </is>
      </c>
      <c r="C44" s="13" t="inlineStr">
        <is>
          <t>OpenAI</t>
        </is>
      </c>
      <c r="D44" s="13" t="inlineStr">
        <is>
          <t>GPT-5.x</t>
        </is>
      </c>
      <c r="E44" s="13" t="inlineStr">
        <is>
          <t>5-nano</t>
        </is>
      </c>
      <c r="F44" s="13" t="inlineStr">
        <is>
          <t>Current</t>
        </is>
      </c>
      <c r="G44" s="13" t="inlineStr">
        <is>
          <t>Fast-Cheap</t>
        </is>
      </c>
      <c r="H44" s="13" t="inlineStr">
        <is>
          <t>GitHub Models (AI Toolkit)</t>
        </is>
      </c>
      <c r="I44" s="13" t="inlineStr">
        <is>
          <t>Aggregator</t>
        </is>
      </c>
      <c r="J44" s="13" t="inlineStr">
        <is>
          <t>Configured</t>
        </is>
      </c>
      <c r="K44" s="13" t="inlineStr">
        <is>
          <t>subscription_included</t>
        </is>
      </c>
      <c r="L44" s="13" t="inlineStr">
        <is>
          <t>No</t>
        </is>
      </c>
      <c r="M44" s="13" t="n">
        <v>6.8</v>
      </c>
      <c r="N44" s="13" t="n">
        <v>6.2</v>
      </c>
      <c r="O44" s="13" t="n">
        <v>6</v>
      </c>
      <c r="P44" s="13" t="n">
        <v>6.6</v>
      </c>
      <c r="Q44" s="13">
        <f>IFERROR(ROUND(AVERAGE(M44:P44),1),"")</f>
        <v/>
      </c>
      <c r="R44" s="13" t="n">
        <v>6.8</v>
      </c>
      <c r="S44" s="13" t="n">
        <v>6</v>
      </c>
      <c r="T44" s="13" t="n">
        <v>6</v>
      </c>
      <c r="U44" s="13" t="n">
        <v>6.6</v>
      </c>
      <c r="V44" s="13">
        <f>IFERROR(ROUND(AVERAGE(R44:U44),1),"")</f>
        <v/>
      </c>
      <c r="W44" s="13" t="n">
        <v>6.8</v>
      </c>
      <c r="X44" s="13" t="n">
        <v>6.2</v>
      </c>
      <c r="Y44" s="13" t="n">
        <v>5.6</v>
      </c>
      <c r="Z44" s="13" t="n">
        <v>6.8</v>
      </c>
      <c r="AA44" s="13">
        <f>IFERROR(ROUND(AVERAGE(W44:Z44),1),"")</f>
        <v/>
      </c>
      <c r="AB44" s="13" t="n">
        <v>6.8</v>
      </c>
      <c r="AC44" s="13" t="n">
        <v>6.8</v>
      </c>
      <c r="AD44" s="13" t="n">
        <v>6.8</v>
      </c>
      <c r="AE44" s="13" t="n">
        <v>6.6</v>
      </c>
      <c r="AF44" s="13">
        <f>IFERROR(ROUND(AVERAGE(AB44:AE44),1),"")</f>
        <v/>
      </c>
      <c r="AG44" s="13" t="n">
        <v>6.2</v>
      </c>
      <c r="AH44" s="13" t="n">
        <v>5.4</v>
      </c>
      <c r="AI44" s="13" t="n">
        <v>6.8</v>
      </c>
      <c r="AJ44" s="13" t="n">
        <v>6.2</v>
      </c>
      <c r="AK44" s="13">
        <f>IFERROR(ROUND(AVERAGE(AG44:AJ44),1),"")</f>
        <v/>
      </c>
      <c r="AL44" s="13" t="n">
        <v>6.6</v>
      </c>
      <c r="AM44" s="13" t="n">
        <v>6.6</v>
      </c>
      <c r="AN44" s="13" t="inlineStr"/>
      <c r="AO44" s="13">
        <f>IFERROR(ROUND(AVERAGE(AL44:AN44),1),"")</f>
        <v/>
      </c>
      <c r="AP44" s="13" t="n">
        <v>9.199999999999999</v>
      </c>
      <c r="AQ44" s="13" t="n">
        <v>9.199999999999999</v>
      </c>
      <c r="AR44" s="13" t="n">
        <v>8</v>
      </c>
      <c r="AS44" s="13" t="n">
        <v>8.6</v>
      </c>
      <c r="AT44" s="13">
        <f>IFERROR(ROUND(AVERAGE(AP44:AS44),1),"")</f>
        <v/>
      </c>
      <c r="AU44" s="13" t="n">
        <v>7</v>
      </c>
      <c r="AV44" s="13" t="n">
        <v>7.2</v>
      </c>
      <c r="AW44" s="13" t="n">
        <v>8</v>
      </c>
      <c r="AX44" s="13" t="n">
        <v>7</v>
      </c>
      <c r="AY44" s="13">
        <f>IFERROR(ROUND(AVERAGE(AU44:AX44),1),"")</f>
        <v/>
      </c>
      <c r="AZ44" s="13">
        <f>ROUND(0.19*N(Q44)+0.17*N(V44)+0.17*N(AA44)+0.1*N(AF44)+0.09*N(AK44)+0.12*N(AT44)+0.16*N(AY44),1)</f>
        <v/>
      </c>
      <c r="BA44" s="13" t="inlineStr">
        <is>
          <t>400K</t>
        </is>
      </c>
      <c r="BB44" s="13" t="n">
        <v>64000</v>
      </c>
      <c r="BC44" s="13" t="inlineStr"/>
      <c r="BD44" s="13" t="inlineStr"/>
      <c r="BE44" s="13" t="inlineStr">
        <is>
          <t>medium</t>
        </is>
      </c>
      <c r="BF44" s="13" t="n">
        <v>3</v>
      </c>
      <c r="BG44" s="13" t="n">
        <v>3</v>
      </c>
      <c r="BH44" s="13" t="inlineStr">
        <is>
          <t>Cheapest/fastest GPT-5 for simple classification</t>
        </is>
      </c>
      <c r="BI44" s="13" t="inlineStr">
        <is>
          <t>Anything needing depth</t>
        </is>
      </c>
      <c r="BJ44" s="15" t="inlineStr">
        <is>
          <t>M</t>
        </is>
      </c>
      <c r="BK44" s="13" t="inlineStr">
        <is>
          <t>Fastest GPT-5 tier; family-inherited estimate (scaled from flagship); verify before HIGH-stakes routing</t>
        </is>
      </c>
      <c r="BL44" s="13" t="inlineStr">
        <is>
          <t>2026-06-07</t>
        </is>
      </c>
    </row>
    <row r="45">
      <c r="A45" s="13" t="inlineStr">
        <is>
          <t>gpt-5.2-codex</t>
        </is>
      </c>
      <c r="B45" s="13" t="inlineStr">
        <is>
          <t>GPT-5.2 Codex</t>
        </is>
      </c>
      <c r="C45" s="13" t="inlineStr">
        <is>
          <t>OpenAI</t>
        </is>
      </c>
      <c r="D45" s="13" t="inlineStr">
        <is>
          <t>GPT-5.x Codex</t>
        </is>
      </c>
      <c r="E45" s="13" t="inlineStr">
        <is>
          <t>5.2-codex</t>
        </is>
      </c>
      <c r="F45" s="13" t="inlineStr">
        <is>
          <t>Current</t>
        </is>
      </c>
      <c r="G45" s="13" t="inlineStr">
        <is>
          <t>Coder Specialist</t>
        </is>
      </c>
      <c r="H45" s="13" t="inlineStr">
        <is>
          <t>OpenAI API</t>
        </is>
      </c>
      <c r="I45" s="13" t="inlineStr">
        <is>
          <t>HTTP API</t>
        </is>
      </c>
      <c r="J45" s="13" t="inlineStr">
        <is>
          <t>No standalone key</t>
        </is>
      </c>
      <c r="K45" s="13" t="inlineStr">
        <is>
          <t>metered (not configured)</t>
        </is>
      </c>
      <c r="L45" s="13" t="inlineStr">
        <is>
          <t>No</t>
        </is>
      </c>
      <c r="M45" s="13" t="n">
        <v>8.6</v>
      </c>
      <c r="N45" s="13" t="n">
        <v>8.199999999999999</v>
      </c>
      <c r="O45" s="13" t="n">
        <v>8.199999999999999</v>
      </c>
      <c r="P45" s="13" t="n">
        <v>8.4</v>
      </c>
      <c r="Q45" s="13">
        <f>IFERROR(ROUND(AVERAGE(M45:P45),1),"")</f>
        <v/>
      </c>
      <c r="R45" s="13" t="n">
        <v>8.9</v>
      </c>
      <c r="S45" s="13" t="n">
        <v>8.5</v>
      </c>
      <c r="T45" s="13" t="n">
        <v>8.5</v>
      </c>
      <c r="U45" s="13" t="n">
        <v>8.800000000000001</v>
      </c>
      <c r="V45" s="13">
        <f>IFERROR(ROUND(AVERAGE(R45:U45),1),"")</f>
        <v/>
      </c>
      <c r="W45" s="13" t="n">
        <v>8.800000000000001</v>
      </c>
      <c r="X45" s="13" t="n">
        <v>8.800000000000001</v>
      </c>
      <c r="Y45" s="13" t="n">
        <v>8.6</v>
      </c>
      <c r="Z45" s="13" t="n">
        <v>8.800000000000001</v>
      </c>
      <c r="AA45" s="13">
        <f>IFERROR(ROUND(AVERAGE(W45:Z45),1),"")</f>
        <v/>
      </c>
      <c r="AB45" s="13" t="n">
        <v>7.6</v>
      </c>
      <c r="AC45" s="13" t="n">
        <v>7.8</v>
      </c>
      <c r="AD45" s="13" t="n">
        <v>7.6</v>
      </c>
      <c r="AE45" s="13" t="n">
        <v>7.4</v>
      </c>
      <c r="AF45" s="13">
        <f>IFERROR(ROUND(AVERAGE(AB45:AE45),1),"")</f>
        <v/>
      </c>
      <c r="AG45" s="13" t="n">
        <v>7.8</v>
      </c>
      <c r="AH45" s="13" t="n">
        <v>7</v>
      </c>
      <c r="AI45" s="13" t="n">
        <v>8.199999999999999</v>
      </c>
      <c r="AJ45" s="13" t="n">
        <v>8.199999999999999</v>
      </c>
      <c r="AK45" s="13">
        <f>IFERROR(ROUND(AVERAGE(AG45:AJ45),1),"")</f>
        <v/>
      </c>
      <c r="AL45" s="13" t="inlineStr"/>
      <c r="AM45" s="13" t="inlineStr"/>
      <c r="AN45" s="13" t="inlineStr"/>
      <c r="AO45" s="13">
        <f>IFERROR(ROUND(AVERAGE(AL45:AN45),1),"")</f>
        <v/>
      </c>
      <c r="AP45" s="13" t="n">
        <v>6.6</v>
      </c>
      <c r="AQ45" s="13" t="n">
        <v>6.6</v>
      </c>
      <c r="AR45" s="13" t="n">
        <v>9</v>
      </c>
      <c r="AS45" s="13" t="n">
        <v>5.6</v>
      </c>
      <c r="AT45" s="13">
        <f>IFERROR(ROUND(AVERAGE(AP45:AS45),1),"")</f>
        <v/>
      </c>
      <c r="AU45" s="13" t="n">
        <v>8.300000000000001</v>
      </c>
      <c r="AV45" s="13" t="n">
        <v>8.5</v>
      </c>
      <c r="AW45" s="13" t="n">
        <v>8.699999999999999</v>
      </c>
      <c r="AX45" s="13" t="n">
        <v>8.5</v>
      </c>
      <c r="AY45" s="13">
        <f>IFERROR(ROUND(AVERAGE(AU45:AX45),1),"")</f>
        <v/>
      </c>
      <c r="AZ45" s="13">
        <f>ROUND(0.19*N(Q45)+0.17*N(V45)+0.17*N(AA45)+0.1*N(AF45)+0.09*N(AK45)+0.12*N(AT45)+0.16*N(AY45),1)</f>
        <v/>
      </c>
      <c r="BA45" s="13" t="inlineStr">
        <is>
          <t>400K</t>
        </is>
      </c>
      <c r="BB45" s="13" t="n">
        <v>128000</v>
      </c>
      <c r="BC45" s="13" t="inlineStr"/>
      <c r="BD45" s="13" t="inlineStr"/>
      <c r="BE45" s="13" t="inlineStr">
        <is>
          <t>high</t>
        </is>
      </c>
      <c r="BF45" s="13" t="n">
        <v>5</v>
      </c>
      <c r="BG45" s="13" t="n">
        <v>4</v>
      </c>
      <c r="BH45" s="13" t="inlineStr">
        <is>
          <t>Long-horizon agentic coding</t>
        </is>
      </c>
      <c r="BI45" s="13" t="inlineStr">
        <is>
          <t>Non-coding tasks</t>
        </is>
      </c>
      <c r="BJ45" s="15" t="inlineStr">
        <is>
          <t>M</t>
        </is>
      </c>
      <c r="BK45" s="13" t="inlineStr">
        <is>
          <t>Prior Codex generation; family-inherited estimate (scaled from flagship); verify before HIGH-stakes routing</t>
        </is>
      </c>
      <c r="BL45" s="13" t="inlineStr">
        <is>
          <t>2026-06-07</t>
        </is>
      </c>
    </row>
    <row r="46">
      <c r="A46" s="13" t="inlineStr">
        <is>
          <t>gpt-5.2-codex</t>
        </is>
      </c>
      <c r="B46" s="13" t="inlineStr">
        <is>
          <t>GPT-5.2 Codex</t>
        </is>
      </c>
      <c r="C46" s="13" t="inlineStr">
        <is>
          <t>OpenAI</t>
        </is>
      </c>
      <c r="D46" s="13" t="inlineStr">
        <is>
          <t>GPT-5.x Codex</t>
        </is>
      </c>
      <c r="E46" s="13" t="inlineStr">
        <is>
          <t>5.2-codex</t>
        </is>
      </c>
      <c r="F46" s="13" t="inlineStr">
        <is>
          <t>Current</t>
        </is>
      </c>
      <c r="G46" s="13" t="inlineStr">
        <is>
          <t>Coder Specialist</t>
        </is>
      </c>
      <c r="H46" s="13" t="inlineStr">
        <is>
          <t>Codex CLI</t>
        </is>
      </c>
      <c r="I46" s="13" t="inlineStr">
        <is>
          <t>CLI</t>
        </is>
      </c>
      <c r="J46" s="13" t="inlineStr">
        <is>
          <t>Working (ChatGPT plan)</t>
        </is>
      </c>
      <c r="K46" s="13" t="inlineStr">
        <is>
          <t>subscription_included</t>
        </is>
      </c>
      <c r="L46" s="13" t="inlineStr">
        <is>
          <t>No</t>
        </is>
      </c>
      <c r="M46" s="13" t="n">
        <v>8.6</v>
      </c>
      <c r="N46" s="13" t="n">
        <v>8.199999999999999</v>
      </c>
      <c r="O46" s="13" t="n">
        <v>8.199999999999999</v>
      </c>
      <c r="P46" s="13" t="n">
        <v>8.4</v>
      </c>
      <c r="Q46" s="13">
        <f>IFERROR(ROUND(AVERAGE(M46:P46),1),"")</f>
        <v/>
      </c>
      <c r="R46" s="13" t="n">
        <v>8.9</v>
      </c>
      <c r="S46" s="13" t="n">
        <v>8.5</v>
      </c>
      <c r="T46" s="13" t="n">
        <v>8.5</v>
      </c>
      <c r="U46" s="13" t="n">
        <v>8.800000000000001</v>
      </c>
      <c r="V46" s="13">
        <f>IFERROR(ROUND(AVERAGE(R46:U46),1),"")</f>
        <v/>
      </c>
      <c r="W46" s="13" t="n">
        <v>8.800000000000001</v>
      </c>
      <c r="X46" s="13" t="n">
        <v>8.800000000000001</v>
      </c>
      <c r="Y46" s="13" t="n">
        <v>8.6</v>
      </c>
      <c r="Z46" s="13" t="n">
        <v>8.800000000000001</v>
      </c>
      <c r="AA46" s="13">
        <f>IFERROR(ROUND(AVERAGE(W46:Z46),1),"")</f>
        <v/>
      </c>
      <c r="AB46" s="13" t="n">
        <v>7.6</v>
      </c>
      <c r="AC46" s="13" t="n">
        <v>7.8</v>
      </c>
      <c r="AD46" s="13" t="n">
        <v>7.6</v>
      </c>
      <c r="AE46" s="13" t="n">
        <v>7.4</v>
      </c>
      <c r="AF46" s="13">
        <f>IFERROR(ROUND(AVERAGE(AB46:AE46),1),"")</f>
        <v/>
      </c>
      <c r="AG46" s="13" t="n">
        <v>7.8</v>
      </c>
      <c r="AH46" s="13" t="n">
        <v>7</v>
      </c>
      <c r="AI46" s="13" t="n">
        <v>8.199999999999999</v>
      </c>
      <c r="AJ46" s="13" t="n">
        <v>8.199999999999999</v>
      </c>
      <c r="AK46" s="13">
        <f>IFERROR(ROUND(AVERAGE(AG46:AJ46),1),"")</f>
        <v/>
      </c>
      <c r="AL46" s="13" t="inlineStr"/>
      <c r="AM46" s="13" t="inlineStr"/>
      <c r="AN46" s="13" t="inlineStr"/>
      <c r="AO46" s="13">
        <f>IFERROR(ROUND(AVERAGE(AL46:AN46),1),"")</f>
        <v/>
      </c>
      <c r="AP46" s="13" t="n">
        <v>6.6</v>
      </c>
      <c r="AQ46" s="13" t="n">
        <v>6.6</v>
      </c>
      <c r="AR46" s="13" t="n">
        <v>9</v>
      </c>
      <c r="AS46" s="13" t="n">
        <v>5.6</v>
      </c>
      <c r="AT46" s="13">
        <f>IFERROR(ROUND(AVERAGE(AP46:AS46),1),"")</f>
        <v/>
      </c>
      <c r="AU46" s="13" t="n">
        <v>8.300000000000001</v>
      </c>
      <c r="AV46" s="13" t="n">
        <v>8.5</v>
      </c>
      <c r="AW46" s="13" t="n">
        <v>8.699999999999999</v>
      </c>
      <c r="AX46" s="13" t="n">
        <v>8.5</v>
      </c>
      <c r="AY46" s="13">
        <f>IFERROR(ROUND(AVERAGE(AU46:AX46),1),"")</f>
        <v/>
      </c>
      <c r="AZ46" s="13">
        <f>ROUND(0.19*N(Q46)+0.17*N(V46)+0.17*N(AA46)+0.1*N(AF46)+0.09*N(AK46)+0.12*N(AT46)+0.16*N(AY46),1)</f>
        <v/>
      </c>
      <c r="BA46" s="13" t="inlineStr">
        <is>
          <t>400K</t>
        </is>
      </c>
      <c r="BB46" s="13" t="n">
        <v>128000</v>
      </c>
      <c r="BC46" s="13" t="inlineStr"/>
      <c r="BD46" s="13" t="inlineStr"/>
      <c r="BE46" s="13" t="inlineStr">
        <is>
          <t>high</t>
        </is>
      </c>
      <c r="BF46" s="13" t="n">
        <v>5</v>
      </c>
      <c r="BG46" s="13" t="n">
        <v>4</v>
      </c>
      <c r="BH46" s="13" t="inlineStr">
        <is>
          <t>Long-horizon agentic coding</t>
        </is>
      </c>
      <c r="BI46" s="13" t="inlineStr">
        <is>
          <t>Non-coding tasks</t>
        </is>
      </c>
      <c r="BJ46" s="15" t="inlineStr">
        <is>
          <t>M</t>
        </is>
      </c>
      <c r="BK46" s="13" t="inlineStr">
        <is>
          <t>Prior Codex generation; family-inherited estimate (scaled from flagship); verify before HIGH-stakes routing</t>
        </is>
      </c>
      <c r="BL46" s="13" t="inlineStr">
        <is>
          <t>2026-06-07</t>
        </is>
      </c>
    </row>
    <row r="47">
      <c r="A47" s="13" t="inlineStr">
        <is>
          <t>o3</t>
        </is>
      </c>
      <c r="B47" s="13" t="inlineStr">
        <is>
          <t>o3</t>
        </is>
      </c>
      <c r="C47" s="13" t="inlineStr">
        <is>
          <t>OpenAI</t>
        </is>
      </c>
      <c r="D47" s="13" t="inlineStr">
        <is>
          <t>o-series</t>
        </is>
      </c>
      <c r="E47" s="13" t="inlineStr">
        <is>
          <t>o3</t>
        </is>
      </c>
      <c r="F47" s="13" t="inlineStr">
        <is>
          <t>Legacy (succeeded by GPT-5)</t>
        </is>
      </c>
      <c r="G47" s="13" t="inlineStr">
        <is>
          <t>Reasoning Specialist</t>
        </is>
      </c>
      <c r="H47" s="13" t="inlineStr">
        <is>
          <t>OpenAI API</t>
        </is>
      </c>
      <c r="I47" s="13" t="inlineStr">
        <is>
          <t>HTTP API</t>
        </is>
      </c>
      <c r="J47" s="13" t="inlineStr">
        <is>
          <t>No standalone key</t>
        </is>
      </c>
      <c r="K47" s="13" t="inlineStr">
        <is>
          <t>metered (not configured)</t>
        </is>
      </c>
      <c r="L47" s="13" t="inlineStr">
        <is>
          <t>No</t>
        </is>
      </c>
      <c r="M47" s="13" t="n">
        <v>8.800000000000001</v>
      </c>
      <c r="N47" s="13" t="n">
        <v>8.800000000000001</v>
      </c>
      <c r="O47" s="13" t="n">
        <v>8.4</v>
      </c>
      <c r="P47" s="13" t="n">
        <v>8.199999999999999</v>
      </c>
      <c r="Q47" s="13">
        <f>IFERROR(ROUND(AVERAGE(M47:P47),1),"")</f>
        <v/>
      </c>
      <c r="R47" s="13" t="n">
        <v>8.199999999999999</v>
      </c>
      <c r="S47" s="13" t="n">
        <v>7.6</v>
      </c>
      <c r="T47" s="13" t="n">
        <v>7.6</v>
      </c>
      <c r="U47" s="13" t="n">
        <v>8</v>
      </c>
      <c r="V47" s="13">
        <f>IFERROR(ROUND(AVERAGE(R47:U47),1),"")</f>
        <v/>
      </c>
      <c r="W47" s="13" t="n">
        <v>8</v>
      </c>
      <c r="X47" s="13" t="n">
        <v>8</v>
      </c>
      <c r="Y47" s="13" t="n">
        <v>7.6</v>
      </c>
      <c r="Z47" s="13" t="n">
        <v>8.199999999999999</v>
      </c>
      <c r="AA47" s="13">
        <f>IFERROR(ROUND(AVERAGE(W47:Z47),1),"")</f>
        <v/>
      </c>
      <c r="AB47" s="13" t="n">
        <v>7.6</v>
      </c>
      <c r="AC47" s="13" t="n">
        <v>7.8</v>
      </c>
      <c r="AD47" s="13" t="n">
        <v>7.6</v>
      </c>
      <c r="AE47" s="13" t="n">
        <v>7.4</v>
      </c>
      <c r="AF47" s="13">
        <f>IFERROR(ROUND(AVERAGE(AB47:AE47),1),"")</f>
        <v/>
      </c>
      <c r="AG47" s="13" t="n">
        <v>8</v>
      </c>
      <c r="AH47" s="13" t="n">
        <v>7.4</v>
      </c>
      <c r="AI47" s="13" t="n">
        <v>8</v>
      </c>
      <c r="AJ47" s="13" t="n">
        <v>8.4</v>
      </c>
      <c r="AK47" s="13">
        <f>IFERROR(ROUND(AVERAGE(AG47:AJ47),1),"")</f>
        <v/>
      </c>
      <c r="AL47" s="13" t="n">
        <v>8.199999999999999</v>
      </c>
      <c r="AM47" s="13" t="n">
        <v>8</v>
      </c>
      <c r="AN47" s="13" t="inlineStr"/>
      <c r="AO47" s="13">
        <f>IFERROR(ROUND(AVERAGE(AL47:AN47),1),"")</f>
        <v/>
      </c>
      <c r="AP47" s="13" t="n">
        <v>5.5</v>
      </c>
      <c r="AQ47" s="13" t="n">
        <v>5</v>
      </c>
      <c r="AR47" s="13" t="n">
        <v>7</v>
      </c>
      <c r="AS47" s="13" t="n">
        <v>5</v>
      </c>
      <c r="AT47" s="13">
        <f>IFERROR(ROUND(AVERAGE(AP47:AS47),1),"")</f>
        <v/>
      </c>
      <c r="AU47" s="13" t="n">
        <v>8</v>
      </c>
      <c r="AV47" s="13" t="n">
        <v>8.199999999999999</v>
      </c>
      <c r="AW47" s="13" t="n">
        <v>8.4</v>
      </c>
      <c r="AX47" s="13" t="n">
        <v>8</v>
      </c>
      <c r="AY47" s="13">
        <f>IFERROR(ROUND(AVERAGE(AU47:AX47),1),"")</f>
        <v/>
      </c>
      <c r="AZ47" s="13">
        <f>ROUND(0.19*N(Q47)+0.17*N(V47)+0.17*N(AA47)+0.1*N(AF47)+0.09*N(AK47)+0.12*N(AT47)+0.16*N(AY47),1)</f>
        <v/>
      </c>
      <c r="BA47" s="13" t="inlineStr">
        <is>
          <t>200K</t>
        </is>
      </c>
      <c r="BB47" s="13" t="n">
        <v>100000</v>
      </c>
      <c r="BC47" s="13" t="inlineStr"/>
      <c r="BD47" s="13" t="inlineStr"/>
      <c r="BE47" s="13" t="inlineStr">
        <is>
          <t>high</t>
        </is>
      </c>
      <c r="BF47" s="13" t="n">
        <v>5</v>
      </c>
      <c r="BG47" s="13" t="n">
        <v>4</v>
      </c>
      <c r="BH47" s="13" t="inlineStr">
        <is>
          <t>Proof-heavy reasoning where GPT-5 unavailable</t>
        </is>
      </c>
      <c r="BI47" s="13" t="inlineStr">
        <is>
          <t>Fast/cheap tasks</t>
        </is>
      </c>
      <c r="BJ47" s="15" t="inlineStr">
        <is>
          <t>M</t>
        </is>
      </c>
      <c r="BK47" s="13" t="inlineStr">
        <is>
          <t>Pre-GPT-5 reasoning tier; family-inherited estimate (scaled from flagship); verify before HIGH-stakes routing</t>
        </is>
      </c>
      <c r="BL47" s="13" t="inlineStr">
        <is>
          <t>2026-06-07</t>
        </is>
      </c>
    </row>
    <row r="48">
      <c r="A48" s="13" t="inlineStr">
        <is>
          <t>o3-pro</t>
        </is>
      </c>
      <c r="B48" s="13" t="inlineStr">
        <is>
          <t>o3 Pro</t>
        </is>
      </c>
      <c r="C48" s="13" t="inlineStr">
        <is>
          <t>OpenAI</t>
        </is>
      </c>
      <c r="D48" s="13" t="inlineStr">
        <is>
          <t>o-series</t>
        </is>
      </c>
      <c r="E48" s="13" t="inlineStr">
        <is>
          <t>o3-pro</t>
        </is>
      </c>
      <c r="F48" s="13" t="inlineStr">
        <is>
          <t>Legacy</t>
        </is>
      </c>
      <c r="G48" s="13" t="inlineStr">
        <is>
          <t>Reasoning (max compute)</t>
        </is>
      </c>
      <c r="H48" s="13" t="inlineStr">
        <is>
          <t>OpenAI API</t>
        </is>
      </c>
      <c r="I48" s="13" t="inlineStr">
        <is>
          <t>HTTP API</t>
        </is>
      </c>
      <c r="J48" s="13" t="inlineStr">
        <is>
          <t>No standalone key</t>
        </is>
      </c>
      <c r="K48" s="13" t="inlineStr">
        <is>
          <t>metered (not configured)</t>
        </is>
      </c>
      <c r="L48" s="13" t="inlineStr">
        <is>
          <t>No</t>
        </is>
      </c>
      <c r="M48" s="13" t="n">
        <v>9</v>
      </c>
      <c r="N48" s="13" t="n">
        <v>9</v>
      </c>
      <c r="O48" s="13" t="n">
        <v>8.6</v>
      </c>
      <c r="P48" s="13" t="n">
        <v>8.199999999999999</v>
      </c>
      <c r="Q48" s="13">
        <f>IFERROR(ROUND(AVERAGE(M48:P48),1),"")</f>
        <v/>
      </c>
      <c r="R48" s="13" t="n">
        <v>8.199999999999999</v>
      </c>
      <c r="S48" s="13" t="n">
        <v>7.6</v>
      </c>
      <c r="T48" s="13" t="n">
        <v>7.6</v>
      </c>
      <c r="U48" s="13" t="n">
        <v>8</v>
      </c>
      <c r="V48" s="13">
        <f>IFERROR(ROUND(AVERAGE(R48:U48),1),"")</f>
        <v/>
      </c>
      <c r="W48" s="13" t="n">
        <v>8</v>
      </c>
      <c r="X48" s="13" t="n">
        <v>8</v>
      </c>
      <c r="Y48" s="13" t="n">
        <v>7.6</v>
      </c>
      <c r="Z48" s="13" t="n">
        <v>8.199999999999999</v>
      </c>
      <c r="AA48" s="13">
        <f>IFERROR(ROUND(AVERAGE(W48:Z48),1),"")</f>
        <v/>
      </c>
      <c r="AB48" s="13" t="n">
        <v>7.6</v>
      </c>
      <c r="AC48" s="13" t="n">
        <v>7.8</v>
      </c>
      <c r="AD48" s="13" t="n">
        <v>7.6</v>
      </c>
      <c r="AE48" s="13" t="n">
        <v>7.4</v>
      </c>
      <c r="AF48" s="13">
        <f>IFERROR(ROUND(AVERAGE(AB48:AE48),1),"")</f>
        <v/>
      </c>
      <c r="AG48" s="13" t="n">
        <v>8.199999999999999</v>
      </c>
      <c r="AH48" s="13" t="n">
        <v>7.6</v>
      </c>
      <c r="AI48" s="13" t="n">
        <v>8</v>
      </c>
      <c r="AJ48" s="13" t="n">
        <v>8.6</v>
      </c>
      <c r="AK48" s="13">
        <f>IFERROR(ROUND(AVERAGE(AG48:AJ48),1),"")</f>
        <v/>
      </c>
      <c r="AL48" s="13" t="n">
        <v>8.199999999999999</v>
      </c>
      <c r="AM48" s="13" t="n">
        <v>8</v>
      </c>
      <c r="AN48" s="13" t="inlineStr"/>
      <c r="AO48" s="13">
        <f>IFERROR(ROUND(AVERAGE(AL48:AN48),1),"")</f>
        <v/>
      </c>
      <c r="AP48" s="13" t="n">
        <v>4</v>
      </c>
      <c r="AQ48" s="13" t="n">
        <v>3.6</v>
      </c>
      <c r="AR48" s="13" t="n">
        <v>7</v>
      </c>
      <c r="AS48" s="13" t="n">
        <v>4</v>
      </c>
      <c r="AT48" s="13">
        <f>IFERROR(ROUND(AVERAGE(AP48:AS48),1),"")</f>
        <v/>
      </c>
      <c r="AU48" s="13" t="n">
        <v>8.199999999999999</v>
      </c>
      <c r="AV48" s="13" t="n">
        <v>8.4</v>
      </c>
      <c r="AW48" s="13" t="n">
        <v>8.6</v>
      </c>
      <c r="AX48" s="13" t="n">
        <v>8.199999999999999</v>
      </c>
      <c r="AY48" s="13">
        <f>IFERROR(ROUND(AVERAGE(AU48:AX48),1),"")</f>
        <v/>
      </c>
      <c r="AZ48" s="13">
        <f>ROUND(0.19*N(Q48)+0.17*N(V48)+0.17*N(AA48)+0.1*N(AF48)+0.09*N(AK48)+0.12*N(AT48)+0.16*N(AY48),1)</f>
        <v/>
      </c>
      <c r="BA48" s="13" t="inlineStr">
        <is>
          <t>200K</t>
        </is>
      </c>
      <c r="BB48" s="13" t="n">
        <v>100000</v>
      </c>
      <c r="BC48" s="13" t="inlineStr"/>
      <c r="BD48" s="13" t="inlineStr"/>
      <c r="BE48" s="13" t="inlineStr">
        <is>
          <t>high</t>
        </is>
      </c>
      <c r="BF48" s="13" t="n">
        <v>5</v>
      </c>
      <c r="BG48" s="13" t="n">
        <v>4</v>
      </c>
      <c r="BH48" s="13" t="inlineStr">
        <is>
          <t>Highest o-series reasoning precision</t>
        </is>
      </c>
      <c r="BI48" s="13" t="inlineStr">
        <is>
          <t>Latency-sensitive</t>
        </is>
      </c>
      <c r="BJ48" s="15" t="inlineStr">
        <is>
          <t>M</t>
        </is>
      </c>
      <c r="BK48" s="13" t="inlineStr">
        <is>
          <t>o3 + more compute; family-inherited estimate (scaled from flagship); verify before HIGH-stakes routing</t>
        </is>
      </c>
      <c r="BL48" s="13" t="inlineStr">
        <is>
          <t>2026-06-07</t>
        </is>
      </c>
    </row>
    <row r="49">
      <c r="A49" s="13" t="inlineStr">
        <is>
          <t>o4-mini</t>
        </is>
      </c>
      <c r="B49" s="13" t="inlineStr">
        <is>
          <t>o4-mini</t>
        </is>
      </c>
      <c r="C49" s="13" t="inlineStr">
        <is>
          <t>OpenAI</t>
        </is>
      </c>
      <c r="D49" s="13" t="inlineStr">
        <is>
          <t>o-series</t>
        </is>
      </c>
      <c r="E49" s="13" t="inlineStr">
        <is>
          <t>o4-mini</t>
        </is>
      </c>
      <c r="F49" s="13" t="inlineStr">
        <is>
          <t>Legacy</t>
        </is>
      </c>
      <c r="G49" s="13" t="inlineStr">
        <is>
          <t>Reasoning (fast)</t>
        </is>
      </c>
      <c r="H49" s="13" t="inlineStr">
        <is>
          <t>OpenAI API</t>
        </is>
      </c>
      <c r="I49" s="13" t="inlineStr">
        <is>
          <t>HTTP API</t>
        </is>
      </c>
      <c r="J49" s="13" t="inlineStr">
        <is>
          <t>No standalone key</t>
        </is>
      </c>
      <c r="K49" s="13" t="inlineStr">
        <is>
          <t>metered (not configured)</t>
        </is>
      </c>
      <c r="L49" s="13" t="inlineStr">
        <is>
          <t>No</t>
        </is>
      </c>
      <c r="M49" s="13" t="n">
        <v>8.199999999999999</v>
      </c>
      <c r="N49" s="13" t="n">
        <v>8.4</v>
      </c>
      <c r="O49" s="13" t="n">
        <v>7.6</v>
      </c>
      <c r="P49" s="13" t="n">
        <v>7.6</v>
      </c>
      <c r="Q49" s="13">
        <f>IFERROR(ROUND(AVERAGE(M49:P49),1),"")</f>
        <v/>
      </c>
      <c r="R49" s="13" t="n">
        <v>7.8</v>
      </c>
      <c r="S49" s="13" t="n">
        <v>7.2</v>
      </c>
      <c r="T49" s="13" t="n">
        <v>7</v>
      </c>
      <c r="U49" s="13" t="n">
        <v>7.6</v>
      </c>
      <c r="V49" s="13">
        <f>IFERROR(ROUND(AVERAGE(R49:U49),1),"")</f>
        <v/>
      </c>
      <c r="W49" s="13" t="n">
        <v>7.6</v>
      </c>
      <c r="X49" s="13" t="n">
        <v>7.4</v>
      </c>
      <c r="Y49" s="13" t="n">
        <v>7</v>
      </c>
      <c r="Z49" s="13" t="n">
        <v>7.8</v>
      </c>
      <c r="AA49" s="13">
        <f>IFERROR(ROUND(AVERAGE(W49:Z49),1),"")</f>
        <v/>
      </c>
      <c r="AB49" s="13" t="n">
        <v>7</v>
      </c>
      <c r="AC49" s="13" t="n">
        <v>7.2</v>
      </c>
      <c r="AD49" s="13" t="n">
        <v>7</v>
      </c>
      <c r="AE49" s="13" t="n">
        <v>7</v>
      </c>
      <c r="AF49" s="13">
        <f>IFERROR(ROUND(AVERAGE(AB49:AE49),1),"")</f>
        <v/>
      </c>
      <c r="AG49" s="13" t="n">
        <v>7.4</v>
      </c>
      <c r="AH49" s="13" t="n">
        <v>6.8</v>
      </c>
      <c r="AI49" s="13" t="n">
        <v>7.6</v>
      </c>
      <c r="AJ49" s="13" t="n">
        <v>8</v>
      </c>
      <c r="AK49" s="13">
        <f>IFERROR(ROUND(AVERAGE(AG49:AJ49),1),"")</f>
        <v/>
      </c>
      <c r="AL49" s="13" t="n">
        <v>7.6</v>
      </c>
      <c r="AM49" s="13" t="n">
        <v>7.4</v>
      </c>
      <c r="AN49" s="13" t="inlineStr"/>
      <c r="AO49" s="13">
        <f>IFERROR(ROUND(AVERAGE(AL49:AN49),1),"")</f>
        <v/>
      </c>
      <c r="AP49" s="13" t="n">
        <v>7.8</v>
      </c>
      <c r="AQ49" s="13" t="n">
        <v>7.6</v>
      </c>
      <c r="AR49" s="13" t="n">
        <v>7</v>
      </c>
      <c r="AS49" s="13" t="n">
        <v>7.5</v>
      </c>
      <c r="AT49" s="13">
        <f>IFERROR(ROUND(AVERAGE(AP49:AS49),1),"")</f>
        <v/>
      </c>
      <c r="AU49" s="13" t="n">
        <v>7.6</v>
      </c>
      <c r="AV49" s="13" t="n">
        <v>7.8</v>
      </c>
      <c r="AW49" s="13" t="n">
        <v>8</v>
      </c>
      <c r="AX49" s="13" t="n">
        <v>7.6</v>
      </c>
      <c r="AY49" s="13">
        <f>IFERROR(ROUND(AVERAGE(AU49:AX49),1),"")</f>
        <v/>
      </c>
      <c r="AZ49" s="13">
        <f>ROUND(0.19*N(Q49)+0.17*N(V49)+0.17*N(AA49)+0.1*N(AF49)+0.09*N(AK49)+0.12*N(AT49)+0.16*N(AY49),1)</f>
        <v/>
      </c>
      <c r="BA49" s="13" t="inlineStr">
        <is>
          <t>200K</t>
        </is>
      </c>
      <c r="BB49" s="13" t="n">
        <v>100000</v>
      </c>
      <c r="BC49" s="13" t="inlineStr"/>
      <c r="BD49" s="13" t="inlineStr"/>
      <c r="BE49" s="13" t="inlineStr">
        <is>
          <t>high</t>
        </is>
      </c>
      <c r="BF49" s="13" t="n">
        <v>4</v>
      </c>
      <c r="BG49" s="13" t="n">
        <v>4</v>
      </c>
      <c r="BH49" s="13" t="inlineStr">
        <is>
          <t>Fast cost-efficient reasoning</t>
        </is>
      </c>
      <c r="BI49" s="13" t="inlineStr"/>
      <c r="BJ49" s="15" t="inlineStr">
        <is>
          <t>M</t>
        </is>
      </c>
      <c r="BK49" s="13" t="inlineStr">
        <is>
          <t>Fast o-series reasoning; family-inherited estimate (scaled from flagship); verify before HIGH-stakes routing</t>
        </is>
      </c>
      <c r="BL49" s="13" t="inlineStr">
        <is>
          <t>2026-06-07</t>
        </is>
      </c>
    </row>
    <row r="50">
      <c r="A50" s="13" t="inlineStr">
        <is>
          <t>o4-mini</t>
        </is>
      </c>
      <c r="B50" s="13" t="inlineStr">
        <is>
          <t>o4-mini</t>
        </is>
      </c>
      <c r="C50" s="13" t="inlineStr">
        <is>
          <t>OpenAI</t>
        </is>
      </c>
      <c r="D50" s="13" t="inlineStr">
        <is>
          <t>o-series</t>
        </is>
      </c>
      <c r="E50" s="13" t="inlineStr">
        <is>
          <t>o4-mini</t>
        </is>
      </c>
      <c r="F50" s="13" t="inlineStr">
        <is>
          <t>Legacy</t>
        </is>
      </c>
      <c r="G50" s="13" t="inlineStr">
        <is>
          <t>Reasoning (fast)</t>
        </is>
      </c>
      <c r="H50" s="13" t="inlineStr">
        <is>
          <t>Codex CLI</t>
        </is>
      </c>
      <c r="I50" s="13" t="inlineStr">
        <is>
          <t>CLI</t>
        </is>
      </c>
      <c r="J50" s="13" t="inlineStr">
        <is>
          <t>Working (ChatGPT plan)</t>
        </is>
      </c>
      <c r="K50" s="13" t="inlineStr">
        <is>
          <t>subscription_included</t>
        </is>
      </c>
      <c r="L50" s="13" t="inlineStr">
        <is>
          <t>No</t>
        </is>
      </c>
      <c r="M50" s="13" t="n">
        <v>8.199999999999999</v>
      </c>
      <c r="N50" s="13" t="n">
        <v>8.4</v>
      </c>
      <c r="O50" s="13" t="n">
        <v>7.6</v>
      </c>
      <c r="P50" s="13" t="n">
        <v>7.6</v>
      </c>
      <c r="Q50" s="13">
        <f>IFERROR(ROUND(AVERAGE(M50:P50),1),"")</f>
        <v/>
      </c>
      <c r="R50" s="13" t="n">
        <v>7.8</v>
      </c>
      <c r="S50" s="13" t="n">
        <v>7.2</v>
      </c>
      <c r="T50" s="13" t="n">
        <v>7</v>
      </c>
      <c r="U50" s="13" t="n">
        <v>7.6</v>
      </c>
      <c r="V50" s="13">
        <f>IFERROR(ROUND(AVERAGE(R50:U50),1),"")</f>
        <v/>
      </c>
      <c r="W50" s="13" t="n">
        <v>7.6</v>
      </c>
      <c r="X50" s="13" t="n">
        <v>7.4</v>
      </c>
      <c r="Y50" s="13" t="n">
        <v>7</v>
      </c>
      <c r="Z50" s="13" t="n">
        <v>7.8</v>
      </c>
      <c r="AA50" s="13">
        <f>IFERROR(ROUND(AVERAGE(W50:Z50),1),"")</f>
        <v/>
      </c>
      <c r="AB50" s="13" t="n">
        <v>7</v>
      </c>
      <c r="AC50" s="13" t="n">
        <v>7.2</v>
      </c>
      <c r="AD50" s="13" t="n">
        <v>7</v>
      </c>
      <c r="AE50" s="13" t="n">
        <v>7</v>
      </c>
      <c r="AF50" s="13">
        <f>IFERROR(ROUND(AVERAGE(AB50:AE50),1),"")</f>
        <v/>
      </c>
      <c r="AG50" s="13" t="n">
        <v>7.4</v>
      </c>
      <c r="AH50" s="13" t="n">
        <v>6.8</v>
      </c>
      <c r="AI50" s="13" t="n">
        <v>7.6</v>
      </c>
      <c r="AJ50" s="13" t="n">
        <v>8</v>
      </c>
      <c r="AK50" s="13">
        <f>IFERROR(ROUND(AVERAGE(AG50:AJ50),1),"")</f>
        <v/>
      </c>
      <c r="AL50" s="13" t="n">
        <v>7.6</v>
      </c>
      <c r="AM50" s="13" t="n">
        <v>7.4</v>
      </c>
      <c r="AN50" s="13" t="inlineStr"/>
      <c r="AO50" s="13">
        <f>IFERROR(ROUND(AVERAGE(AL50:AN50),1),"")</f>
        <v/>
      </c>
      <c r="AP50" s="13" t="n">
        <v>7.8</v>
      </c>
      <c r="AQ50" s="13" t="n">
        <v>7.6</v>
      </c>
      <c r="AR50" s="13" t="n">
        <v>7</v>
      </c>
      <c r="AS50" s="13" t="n">
        <v>7.5</v>
      </c>
      <c r="AT50" s="13">
        <f>IFERROR(ROUND(AVERAGE(AP50:AS50),1),"")</f>
        <v/>
      </c>
      <c r="AU50" s="13" t="n">
        <v>7.6</v>
      </c>
      <c r="AV50" s="13" t="n">
        <v>7.8</v>
      </c>
      <c r="AW50" s="13" t="n">
        <v>8</v>
      </c>
      <c r="AX50" s="13" t="n">
        <v>7.6</v>
      </c>
      <c r="AY50" s="13">
        <f>IFERROR(ROUND(AVERAGE(AU50:AX50),1),"")</f>
        <v/>
      </c>
      <c r="AZ50" s="13">
        <f>ROUND(0.19*N(Q50)+0.17*N(V50)+0.17*N(AA50)+0.1*N(AF50)+0.09*N(AK50)+0.12*N(AT50)+0.16*N(AY50),1)</f>
        <v/>
      </c>
      <c r="BA50" s="13" t="inlineStr">
        <is>
          <t>200K</t>
        </is>
      </c>
      <c r="BB50" s="13" t="n">
        <v>100000</v>
      </c>
      <c r="BC50" s="13" t="inlineStr"/>
      <c r="BD50" s="13" t="inlineStr"/>
      <c r="BE50" s="13" t="inlineStr">
        <is>
          <t>high</t>
        </is>
      </c>
      <c r="BF50" s="13" t="n">
        <v>4</v>
      </c>
      <c r="BG50" s="13" t="n">
        <v>4</v>
      </c>
      <c r="BH50" s="13" t="inlineStr">
        <is>
          <t>Fast cost-efficient reasoning</t>
        </is>
      </c>
      <c r="BI50" s="13" t="inlineStr"/>
      <c r="BJ50" s="15" t="inlineStr">
        <is>
          <t>M</t>
        </is>
      </c>
      <c r="BK50" s="13" t="inlineStr">
        <is>
          <t>Fast o-series reasoning; family-inherited estimate (scaled from flagship); verify before HIGH-stakes routing</t>
        </is>
      </c>
      <c r="BL50" s="13" t="inlineStr">
        <is>
          <t>2026-06-07</t>
        </is>
      </c>
    </row>
    <row r="51">
      <c r="A51" s="13" t="inlineStr">
        <is>
          <t>gpt-4.1</t>
        </is>
      </c>
      <c r="B51" s="13" t="inlineStr">
        <is>
          <t>GPT-4.1</t>
        </is>
      </c>
      <c r="C51" s="13" t="inlineStr">
        <is>
          <t>OpenAI</t>
        </is>
      </c>
      <c r="D51" s="13" t="inlineStr">
        <is>
          <t>GPT-4.x</t>
        </is>
      </c>
      <c r="E51" s="13" t="inlineStr">
        <is>
          <t>4.1</t>
        </is>
      </c>
      <c r="F51" s="13" t="inlineStr">
        <is>
          <t>Current (API)</t>
        </is>
      </c>
      <c r="G51" s="13" t="inlineStr">
        <is>
          <t>Instruction/Tool Specialist</t>
        </is>
      </c>
      <c r="H51" s="13" t="inlineStr">
        <is>
          <t>OpenAI API</t>
        </is>
      </c>
      <c r="I51" s="13" t="inlineStr">
        <is>
          <t>HTTP API</t>
        </is>
      </c>
      <c r="J51" s="13" t="inlineStr">
        <is>
          <t>No standalone key</t>
        </is>
      </c>
      <c r="K51" s="13" t="inlineStr">
        <is>
          <t>metered (not configured)</t>
        </is>
      </c>
      <c r="L51" s="13" t="inlineStr">
        <is>
          <t>No</t>
        </is>
      </c>
      <c r="M51" s="13" t="n">
        <v>8</v>
      </c>
      <c r="N51" s="13" t="n">
        <v>7.5</v>
      </c>
      <c r="O51" s="13" t="n">
        <v>7.8</v>
      </c>
      <c r="P51" s="13" t="n">
        <v>8.199999999999999</v>
      </c>
      <c r="Q51" s="13">
        <f>IFERROR(ROUND(AVERAGE(M51:P51),1),"")</f>
        <v/>
      </c>
      <c r="R51" s="13" t="n">
        <v>8.199999999999999</v>
      </c>
      <c r="S51" s="13" t="n">
        <v>7.6</v>
      </c>
      <c r="T51" s="13" t="n">
        <v>7.8</v>
      </c>
      <c r="U51" s="13" t="n">
        <v>8.199999999999999</v>
      </c>
      <c r="V51" s="13">
        <f>IFERROR(ROUND(AVERAGE(R51:U51),1),"")</f>
        <v/>
      </c>
      <c r="W51" s="13" t="n">
        <v>8.800000000000001</v>
      </c>
      <c r="X51" s="13" t="n">
        <v>8.199999999999999</v>
      </c>
      <c r="Y51" s="13" t="n">
        <v>7.6</v>
      </c>
      <c r="Z51" s="13" t="n">
        <v>9</v>
      </c>
      <c r="AA51" s="13">
        <f>IFERROR(ROUND(AVERAGE(W51:Z51),1),"")</f>
        <v/>
      </c>
      <c r="AB51" s="13" t="n">
        <v>8.199999999999999</v>
      </c>
      <c r="AC51" s="13" t="n">
        <v>8.199999999999999</v>
      </c>
      <c r="AD51" s="13" t="n">
        <v>8.199999999999999</v>
      </c>
      <c r="AE51" s="13" t="n">
        <v>8</v>
      </c>
      <c r="AF51" s="13">
        <f>IFERROR(ROUND(AVERAGE(AB51:AE51),1),"")</f>
        <v/>
      </c>
      <c r="AG51" s="13" t="n">
        <v>7.8</v>
      </c>
      <c r="AH51" s="13" t="n">
        <v>7</v>
      </c>
      <c r="AI51" s="13" t="n">
        <v>8.4</v>
      </c>
      <c r="AJ51" s="13" t="n">
        <v>7.8</v>
      </c>
      <c r="AK51" s="13">
        <f>IFERROR(ROUND(AVERAGE(AG51:AJ51),1),"")</f>
        <v/>
      </c>
      <c r="AL51" s="13" t="n">
        <v>8</v>
      </c>
      <c r="AM51" s="13" t="n">
        <v>8.199999999999999</v>
      </c>
      <c r="AN51" s="13" t="inlineStr"/>
      <c r="AO51" s="13">
        <f>IFERROR(ROUND(AVERAGE(AL51:AN51),1),"")</f>
        <v/>
      </c>
      <c r="AP51" s="13" t="n">
        <v>7.5</v>
      </c>
      <c r="AQ51" s="13" t="n">
        <v>7.5</v>
      </c>
      <c r="AR51" s="13" t="n">
        <v>10</v>
      </c>
      <c r="AS51" s="13" t="n">
        <v>7</v>
      </c>
      <c r="AT51" s="13">
        <f>IFERROR(ROUND(AVERAGE(AP51:AS51),1),"")</f>
        <v/>
      </c>
      <c r="AU51" s="13" t="n">
        <v>8.199999999999999</v>
      </c>
      <c r="AV51" s="13" t="n">
        <v>8.4</v>
      </c>
      <c r="AW51" s="13" t="n">
        <v>8.4</v>
      </c>
      <c r="AX51" s="13" t="n">
        <v>8.199999999999999</v>
      </c>
      <c r="AY51" s="13">
        <f>IFERROR(ROUND(AVERAGE(AU51:AX51),1),"")</f>
        <v/>
      </c>
      <c r="AZ51" s="13">
        <f>ROUND(0.19*N(Q51)+0.17*N(V51)+0.17*N(AA51)+0.1*N(AF51)+0.09*N(AK51)+0.12*N(AT51)+0.16*N(AY51),1)</f>
        <v/>
      </c>
      <c r="BA51" s="13" t="inlineStr">
        <is>
          <t>1M</t>
        </is>
      </c>
      <c r="BB51" s="13" t="n">
        <v>32000</v>
      </c>
      <c r="BC51" s="13" t="inlineStr"/>
      <c r="BD51" s="13" t="inlineStr"/>
      <c r="BE51" s="13" t="inlineStr">
        <is>
          <t>high</t>
        </is>
      </c>
      <c r="BF51" s="13" t="n">
        <v>5</v>
      </c>
      <c r="BG51" s="13" t="n">
        <v>4</v>
      </c>
      <c r="BH51" s="13" t="inlineStr">
        <is>
          <t>Best non-reasoning instruction-following + tool calling, 1M ctx</t>
        </is>
      </c>
      <c r="BI51" s="13" t="inlineStr">
        <is>
          <t>Frontier reasoning/math</t>
        </is>
      </c>
      <c r="BJ51" s="14" t="inlineStr">
        <is>
          <t>H</t>
        </is>
      </c>
      <c r="BK51" s="13" t="inlineStr">
        <is>
          <t>Strong IFEval/tool-calling; 1M context; benchmark-anchored (AA Index, SWE-bench, GPQA, ARC-AGI-2, Aider, MMMU 2026-06)</t>
        </is>
      </c>
      <c r="BL51" s="13" t="inlineStr">
        <is>
          <t>2026-06-07</t>
        </is>
      </c>
    </row>
    <row r="52">
      <c r="A52" s="13" t="inlineStr">
        <is>
          <t>gpt-4.1</t>
        </is>
      </c>
      <c r="B52" s="13" t="inlineStr">
        <is>
          <t>GPT-4.1</t>
        </is>
      </c>
      <c r="C52" s="13" t="inlineStr">
        <is>
          <t>OpenAI</t>
        </is>
      </c>
      <c r="D52" s="13" t="inlineStr">
        <is>
          <t>GPT-4.x</t>
        </is>
      </c>
      <c r="E52" s="13" t="inlineStr">
        <is>
          <t>4.1</t>
        </is>
      </c>
      <c r="F52" s="13" t="inlineStr">
        <is>
          <t>Current (API)</t>
        </is>
      </c>
      <c r="G52" s="13" t="inlineStr">
        <is>
          <t>Instruction/Tool Specialist</t>
        </is>
      </c>
      <c r="H52" s="13" t="inlineStr">
        <is>
          <t>GitHub Models (AI Toolkit)</t>
        </is>
      </c>
      <c r="I52" s="13" t="inlineStr">
        <is>
          <t>Aggregator</t>
        </is>
      </c>
      <c r="J52" s="13" t="inlineStr">
        <is>
          <t>Configured</t>
        </is>
      </c>
      <c r="K52" s="13" t="inlineStr">
        <is>
          <t>subscription_included</t>
        </is>
      </c>
      <c r="L52" s="13" t="inlineStr">
        <is>
          <t>No</t>
        </is>
      </c>
      <c r="M52" s="13" t="n">
        <v>8</v>
      </c>
      <c r="N52" s="13" t="n">
        <v>7.5</v>
      </c>
      <c r="O52" s="13" t="n">
        <v>7.8</v>
      </c>
      <c r="P52" s="13" t="n">
        <v>8.199999999999999</v>
      </c>
      <c r="Q52" s="13">
        <f>IFERROR(ROUND(AVERAGE(M52:P52),1),"")</f>
        <v/>
      </c>
      <c r="R52" s="13" t="n">
        <v>8.199999999999999</v>
      </c>
      <c r="S52" s="13" t="n">
        <v>7.6</v>
      </c>
      <c r="T52" s="13" t="n">
        <v>7.8</v>
      </c>
      <c r="U52" s="13" t="n">
        <v>8.199999999999999</v>
      </c>
      <c r="V52" s="13">
        <f>IFERROR(ROUND(AVERAGE(R52:U52),1),"")</f>
        <v/>
      </c>
      <c r="W52" s="13" t="n">
        <v>8.800000000000001</v>
      </c>
      <c r="X52" s="13" t="n">
        <v>8.199999999999999</v>
      </c>
      <c r="Y52" s="13" t="n">
        <v>7.6</v>
      </c>
      <c r="Z52" s="13" t="n">
        <v>9</v>
      </c>
      <c r="AA52" s="13">
        <f>IFERROR(ROUND(AVERAGE(W52:Z52),1),"")</f>
        <v/>
      </c>
      <c r="AB52" s="13" t="n">
        <v>8.199999999999999</v>
      </c>
      <c r="AC52" s="13" t="n">
        <v>8.199999999999999</v>
      </c>
      <c r="AD52" s="13" t="n">
        <v>8.199999999999999</v>
      </c>
      <c r="AE52" s="13" t="n">
        <v>8</v>
      </c>
      <c r="AF52" s="13">
        <f>IFERROR(ROUND(AVERAGE(AB52:AE52),1),"")</f>
        <v/>
      </c>
      <c r="AG52" s="13" t="n">
        <v>7.8</v>
      </c>
      <c r="AH52" s="13" t="n">
        <v>7</v>
      </c>
      <c r="AI52" s="13" t="n">
        <v>8.4</v>
      </c>
      <c r="AJ52" s="13" t="n">
        <v>7.8</v>
      </c>
      <c r="AK52" s="13">
        <f>IFERROR(ROUND(AVERAGE(AG52:AJ52),1),"")</f>
        <v/>
      </c>
      <c r="AL52" s="13" t="n">
        <v>8</v>
      </c>
      <c r="AM52" s="13" t="n">
        <v>8.199999999999999</v>
      </c>
      <c r="AN52" s="13" t="inlineStr"/>
      <c r="AO52" s="13">
        <f>IFERROR(ROUND(AVERAGE(AL52:AN52),1),"")</f>
        <v/>
      </c>
      <c r="AP52" s="13" t="n">
        <v>7.5</v>
      </c>
      <c r="AQ52" s="13" t="n">
        <v>7.5</v>
      </c>
      <c r="AR52" s="13" t="n">
        <v>10</v>
      </c>
      <c r="AS52" s="13" t="n">
        <v>7</v>
      </c>
      <c r="AT52" s="13">
        <f>IFERROR(ROUND(AVERAGE(AP52:AS52),1),"")</f>
        <v/>
      </c>
      <c r="AU52" s="13" t="n">
        <v>8.199999999999999</v>
      </c>
      <c r="AV52" s="13" t="n">
        <v>8.4</v>
      </c>
      <c r="AW52" s="13" t="n">
        <v>8.4</v>
      </c>
      <c r="AX52" s="13" t="n">
        <v>8.199999999999999</v>
      </c>
      <c r="AY52" s="13">
        <f>IFERROR(ROUND(AVERAGE(AU52:AX52),1),"")</f>
        <v/>
      </c>
      <c r="AZ52" s="13">
        <f>ROUND(0.19*N(Q52)+0.17*N(V52)+0.17*N(AA52)+0.1*N(AF52)+0.09*N(AK52)+0.12*N(AT52)+0.16*N(AY52),1)</f>
        <v/>
      </c>
      <c r="BA52" s="13" t="inlineStr">
        <is>
          <t>1M</t>
        </is>
      </c>
      <c r="BB52" s="13" t="n">
        <v>32000</v>
      </c>
      <c r="BC52" s="13" t="inlineStr"/>
      <c r="BD52" s="13" t="inlineStr"/>
      <c r="BE52" s="13" t="inlineStr">
        <is>
          <t>high</t>
        </is>
      </c>
      <c r="BF52" s="13" t="n">
        <v>5</v>
      </c>
      <c r="BG52" s="13" t="n">
        <v>4</v>
      </c>
      <c r="BH52" s="13" t="inlineStr">
        <is>
          <t>Best non-reasoning instruction-following + tool calling, 1M ctx</t>
        </is>
      </c>
      <c r="BI52" s="13" t="inlineStr">
        <is>
          <t>Frontier reasoning/math</t>
        </is>
      </c>
      <c r="BJ52" s="14" t="inlineStr">
        <is>
          <t>H</t>
        </is>
      </c>
      <c r="BK52" s="13" t="inlineStr">
        <is>
          <t>Strong IFEval/tool-calling; 1M context; benchmark-anchored (AA Index, SWE-bench, GPQA, ARC-AGI-2, Aider, MMMU 2026-06)</t>
        </is>
      </c>
      <c r="BL52" s="13" t="inlineStr">
        <is>
          <t>2026-06-07</t>
        </is>
      </c>
    </row>
    <row r="53">
      <c r="A53" s="13" t="inlineStr">
        <is>
          <t>gpt-4.1</t>
        </is>
      </c>
      <c r="B53" s="13" t="inlineStr">
        <is>
          <t>GPT-4.1</t>
        </is>
      </c>
      <c r="C53" s="13" t="inlineStr">
        <is>
          <t>OpenAI</t>
        </is>
      </c>
      <c r="D53" s="13" t="inlineStr">
        <is>
          <t>GPT-4.x</t>
        </is>
      </c>
      <c r="E53" s="13" t="inlineStr">
        <is>
          <t>4.1</t>
        </is>
      </c>
      <c r="F53" s="13" t="inlineStr">
        <is>
          <t>Current (API)</t>
        </is>
      </c>
      <c r="G53" s="13" t="inlineStr">
        <is>
          <t>Instruction/Tool Specialist</t>
        </is>
      </c>
      <c r="H53" s="13" t="inlineStr">
        <is>
          <t>Azure AI Foundry</t>
        </is>
      </c>
      <c r="I53" s="13" t="inlineStr">
        <is>
          <t>Aggregator</t>
        </is>
      </c>
      <c r="J53" s="13" t="inlineStr">
        <is>
          <t>Not credentialed</t>
        </is>
      </c>
      <c r="K53" s="13" t="inlineStr">
        <is>
          <t>metered (not configured)</t>
        </is>
      </c>
      <c r="L53" s="13" t="inlineStr">
        <is>
          <t>No</t>
        </is>
      </c>
      <c r="M53" s="13" t="n">
        <v>8</v>
      </c>
      <c r="N53" s="13" t="n">
        <v>7.5</v>
      </c>
      <c r="O53" s="13" t="n">
        <v>7.8</v>
      </c>
      <c r="P53" s="13" t="n">
        <v>8.199999999999999</v>
      </c>
      <c r="Q53" s="13">
        <f>IFERROR(ROUND(AVERAGE(M53:P53),1),"")</f>
        <v/>
      </c>
      <c r="R53" s="13" t="n">
        <v>8.199999999999999</v>
      </c>
      <c r="S53" s="13" t="n">
        <v>7.6</v>
      </c>
      <c r="T53" s="13" t="n">
        <v>7.8</v>
      </c>
      <c r="U53" s="13" t="n">
        <v>8.199999999999999</v>
      </c>
      <c r="V53" s="13">
        <f>IFERROR(ROUND(AVERAGE(R53:U53),1),"")</f>
        <v/>
      </c>
      <c r="W53" s="13" t="n">
        <v>8.800000000000001</v>
      </c>
      <c r="X53" s="13" t="n">
        <v>8.199999999999999</v>
      </c>
      <c r="Y53" s="13" t="n">
        <v>7.6</v>
      </c>
      <c r="Z53" s="13" t="n">
        <v>9</v>
      </c>
      <c r="AA53" s="13">
        <f>IFERROR(ROUND(AVERAGE(W53:Z53),1),"")</f>
        <v/>
      </c>
      <c r="AB53" s="13" t="n">
        <v>8.199999999999999</v>
      </c>
      <c r="AC53" s="13" t="n">
        <v>8.199999999999999</v>
      </c>
      <c r="AD53" s="13" t="n">
        <v>8.199999999999999</v>
      </c>
      <c r="AE53" s="13" t="n">
        <v>8</v>
      </c>
      <c r="AF53" s="13">
        <f>IFERROR(ROUND(AVERAGE(AB53:AE53),1),"")</f>
        <v/>
      </c>
      <c r="AG53" s="13" t="n">
        <v>7.8</v>
      </c>
      <c r="AH53" s="13" t="n">
        <v>7</v>
      </c>
      <c r="AI53" s="13" t="n">
        <v>8.4</v>
      </c>
      <c r="AJ53" s="13" t="n">
        <v>7.8</v>
      </c>
      <c r="AK53" s="13">
        <f>IFERROR(ROUND(AVERAGE(AG53:AJ53),1),"")</f>
        <v/>
      </c>
      <c r="AL53" s="13" t="n">
        <v>8</v>
      </c>
      <c r="AM53" s="13" t="n">
        <v>8.199999999999999</v>
      </c>
      <c r="AN53" s="13" t="inlineStr"/>
      <c r="AO53" s="13">
        <f>IFERROR(ROUND(AVERAGE(AL53:AN53),1),"")</f>
        <v/>
      </c>
      <c r="AP53" s="13" t="n">
        <v>7.5</v>
      </c>
      <c r="AQ53" s="13" t="n">
        <v>7.5</v>
      </c>
      <c r="AR53" s="13" t="n">
        <v>10</v>
      </c>
      <c r="AS53" s="13" t="n">
        <v>7</v>
      </c>
      <c r="AT53" s="13">
        <f>IFERROR(ROUND(AVERAGE(AP53:AS53),1),"")</f>
        <v/>
      </c>
      <c r="AU53" s="13" t="n">
        <v>8.199999999999999</v>
      </c>
      <c r="AV53" s="13" t="n">
        <v>8.4</v>
      </c>
      <c r="AW53" s="13" t="n">
        <v>8.4</v>
      </c>
      <c r="AX53" s="13" t="n">
        <v>8.199999999999999</v>
      </c>
      <c r="AY53" s="13">
        <f>IFERROR(ROUND(AVERAGE(AU53:AX53),1),"")</f>
        <v/>
      </c>
      <c r="AZ53" s="13">
        <f>ROUND(0.19*N(Q53)+0.17*N(V53)+0.17*N(AA53)+0.1*N(AF53)+0.09*N(AK53)+0.12*N(AT53)+0.16*N(AY53),1)</f>
        <v/>
      </c>
      <c r="BA53" s="13" t="inlineStr">
        <is>
          <t>1M</t>
        </is>
      </c>
      <c r="BB53" s="13" t="n">
        <v>32000</v>
      </c>
      <c r="BC53" s="13" t="inlineStr"/>
      <c r="BD53" s="13" t="inlineStr"/>
      <c r="BE53" s="13" t="inlineStr">
        <is>
          <t>high</t>
        </is>
      </c>
      <c r="BF53" s="13" t="n">
        <v>5</v>
      </c>
      <c r="BG53" s="13" t="n">
        <v>4</v>
      </c>
      <c r="BH53" s="13" t="inlineStr">
        <is>
          <t>Best non-reasoning instruction-following + tool calling, 1M ctx</t>
        </is>
      </c>
      <c r="BI53" s="13" t="inlineStr">
        <is>
          <t>Frontier reasoning/math</t>
        </is>
      </c>
      <c r="BJ53" s="14" t="inlineStr">
        <is>
          <t>H</t>
        </is>
      </c>
      <c r="BK53" s="13" t="inlineStr">
        <is>
          <t>Strong IFEval/tool-calling; 1M context; benchmark-anchored (AA Index, SWE-bench, GPQA, ARC-AGI-2, Aider, MMMU 2026-06)</t>
        </is>
      </c>
      <c r="BL53" s="13" t="inlineStr">
        <is>
          <t>2026-06-07</t>
        </is>
      </c>
    </row>
    <row r="54">
      <c r="A54" s="13" t="inlineStr">
        <is>
          <t>gpt-4.1</t>
        </is>
      </c>
      <c r="B54" s="13" t="inlineStr">
        <is>
          <t>GPT-4.1</t>
        </is>
      </c>
      <c r="C54" s="13" t="inlineStr">
        <is>
          <t>OpenAI</t>
        </is>
      </c>
      <c r="D54" s="13" t="inlineStr">
        <is>
          <t>GPT-4.x</t>
        </is>
      </c>
      <c r="E54" s="13" t="inlineStr">
        <is>
          <t>4.1</t>
        </is>
      </c>
      <c r="F54" s="13" t="inlineStr">
        <is>
          <t>Current (API)</t>
        </is>
      </c>
      <c r="G54" s="13" t="inlineStr">
        <is>
          <t>Instruction/Tool Specialist</t>
        </is>
      </c>
      <c r="H54" s="13" t="inlineStr">
        <is>
          <t>GitHub Copilot CLI</t>
        </is>
      </c>
      <c r="I54" s="13" t="inlineStr">
        <is>
          <t>CLI</t>
        </is>
      </c>
      <c r="J54" s="13" t="inlineStr">
        <is>
          <t>Working (premium req)</t>
        </is>
      </c>
      <c r="K54" s="13" t="inlineStr">
        <is>
          <t>subscription_included</t>
        </is>
      </c>
      <c r="L54" s="13" t="inlineStr">
        <is>
          <t>No</t>
        </is>
      </c>
      <c r="M54" s="13" t="n">
        <v>8</v>
      </c>
      <c r="N54" s="13" t="n">
        <v>7.5</v>
      </c>
      <c r="O54" s="13" t="n">
        <v>7.8</v>
      </c>
      <c r="P54" s="13" t="n">
        <v>8.199999999999999</v>
      </c>
      <c r="Q54" s="13">
        <f>IFERROR(ROUND(AVERAGE(M54:P54),1),"")</f>
        <v/>
      </c>
      <c r="R54" s="13" t="n">
        <v>8.199999999999999</v>
      </c>
      <c r="S54" s="13" t="n">
        <v>7.6</v>
      </c>
      <c r="T54" s="13" t="n">
        <v>7.8</v>
      </c>
      <c r="U54" s="13" t="n">
        <v>8.199999999999999</v>
      </c>
      <c r="V54" s="13">
        <f>IFERROR(ROUND(AVERAGE(R54:U54),1),"")</f>
        <v/>
      </c>
      <c r="W54" s="13" t="n">
        <v>8.800000000000001</v>
      </c>
      <c r="X54" s="13" t="n">
        <v>8.199999999999999</v>
      </c>
      <c r="Y54" s="13" t="n">
        <v>7.6</v>
      </c>
      <c r="Z54" s="13" t="n">
        <v>9</v>
      </c>
      <c r="AA54" s="13">
        <f>IFERROR(ROUND(AVERAGE(W54:Z54),1),"")</f>
        <v/>
      </c>
      <c r="AB54" s="13" t="n">
        <v>8.199999999999999</v>
      </c>
      <c r="AC54" s="13" t="n">
        <v>8.199999999999999</v>
      </c>
      <c r="AD54" s="13" t="n">
        <v>8.199999999999999</v>
      </c>
      <c r="AE54" s="13" t="n">
        <v>8</v>
      </c>
      <c r="AF54" s="13">
        <f>IFERROR(ROUND(AVERAGE(AB54:AE54),1),"")</f>
        <v/>
      </c>
      <c r="AG54" s="13" t="n">
        <v>7.8</v>
      </c>
      <c r="AH54" s="13" t="n">
        <v>7</v>
      </c>
      <c r="AI54" s="13" t="n">
        <v>8.4</v>
      </c>
      <c r="AJ54" s="13" t="n">
        <v>7.8</v>
      </c>
      <c r="AK54" s="13">
        <f>IFERROR(ROUND(AVERAGE(AG54:AJ54),1),"")</f>
        <v/>
      </c>
      <c r="AL54" s="13" t="n">
        <v>8</v>
      </c>
      <c r="AM54" s="13" t="n">
        <v>8.199999999999999</v>
      </c>
      <c r="AN54" s="13" t="inlineStr"/>
      <c r="AO54" s="13">
        <f>IFERROR(ROUND(AVERAGE(AL54:AN54),1),"")</f>
        <v/>
      </c>
      <c r="AP54" s="13" t="n">
        <v>7.5</v>
      </c>
      <c r="AQ54" s="13" t="n">
        <v>7.5</v>
      </c>
      <c r="AR54" s="13" t="n">
        <v>10</v>
      </c>
      <c r="AS54" s="13" t="n">
        <v>7</v>
      </c>
      <c r="AT54" s="13">
        <f>IFERROR(ROUND(AVERAGE(AP54:AS54),1),"")</f>
        <v/>
      </c>
      <c r="AU54" s="13" t="n">
        <v>8.199999999999999</v>
      </c>
      <c r="AV54" s="13" t="n">
        <v>8.4</v>
      </c>
      <c r="AW54" s="13" t="n">
        <v>8.4</v>
      </c>
      <c r="AX54" s="13" t="n">
        <v>8.199999999999999</v>
      </c>
      <c r="AY54" s="13">
        <f>IFERROR(ROUND(AVERAGE(AU54:AX54),1),"")</f>
        <v/>
      </c>
      <c r="AZ54" s="13">
        <f>ROUND(0.19*N(Q54)+0.17*N(V54)+0.17*N(AA54)+0.1*N(AF54)+0.09*N(AK54)+0.12*N(AT54)+0.16*N(AY54),1)</f>
        <v/>
      </c>
      <c r="BA54" s="13" t="inlineStr">
        <is>
          <t>1M</t>
        </is>
      </c>
      <c r="BB54" s="13" t="n">
        <v>32000</v>
      </c>
      <c r="BC54" s="13" t="inlineStr"/>
      <c r="BD54" s="13" t="inlineStr"/>
      <c r="BE54" s="13" t="inlineStr">
        <is>
          <t>high</t>
        </is>
      </c>
      <c r="BF54" s="13" t="n">
        <v>5</v>
      </c>
      <c r="BG54" s="13" t="n">
        <v>4</v>
      </c>
      <c r="BH54" s="13" t="inlineStr">
        <is>
          <t>Best non-reasoning instruction-following + tool calling, 1M ctx</t>
        </is>
      </c>
      <c r="BI54" s="13" t="inlineStr">
        <is>
          <t>Frontier reasoning/math</t>
        </is>
      </c>
      <c r="BJ54" s="14" t="inlineStr">
        <is>
          <t>H</t>
        </is>
      </c>
      <c r="BK54" s="13" t="inlineStr">
        <is>
          <t>Strong IFEval/tool-calling; 1M context; benchmark-anchored (AA Index, SWE-bench, GPQA, ARC-AGI-2, Aider, MMMU 2026-06)</t>
        </is>
      </c>
      <c r="BL54" s="13" t="inlineStr">
        <is>
          <t>2026-06-07</t>
        </is>
      </c>
    </row>
    <row r="55">
      <c r="A55" s="13" t="inlineStr">
        <is>
          <t>gpt-4o</t>
        </is>
      </c>
      <c r="B55" s="13" t="inlineStr">
        <is>
          <t>GPT-4o</t>
        </is>
      </c>
      <c r="C55" s="13" t="inlineStr">
        <is>
          <t>OpenAI</t>
        </is>
      </c>
      <c r="D55" s="13" t="inlineStr">
        <is>
          <t>GPT-4.x</t>
        </is>
      </c>
      <c r="E55" s="13" t="inlineStr">
        <is>
          <t>4o</t>
        </is>
      </c>
      <c r="F55" s="13" t="inlineStr">
        <is>
          <t>Current (API)</t>
        </is>
      </c>
      <c r="G55" s="13" t="inlineStr">
        <is>
          <t>Multimodal Workhorse</t>
        </is>
      </c>
      <c r="H55" s="13" t="inlineStr">
        <is>
          <t>OpenAI API</t>
        </is>
      </c>
      <c r="I55" s="13" t="inlineStr">
        <is>
          <t>HTTP API</t>
        </is>
      </c>
      <c r="J55" s="13" t="inlineStr">
        <is>
          <t>No standalone key</t>
        </is>
      </c>
      <c r="K55" s="13" t="inlineStr">
        <is>
          <t>metered (not configured)</t>
        </is>
      </c>
      <c r="L55" s="13" t="inlineStr">
        <is>
          <t>No</t>
        </is>
      </c>
      <c r="M55" s="13" t="n">
        <v>7.5</v>
      </c>
      <c r="N55" s="13" t="n">
        <v>7</v>
      </c>
      <c r="O55" s="13" t="n">
        <v>7.2</v>
      </c>
      <c r="P55" s="13" t="n">
        <v>7.8</v>
      </c>
      <c r="Q55" s="13">
        <f>IFERROR(ROUND(AVERAGE(M55:P55),1),"")</f>
        <v/>
      </c>
      <c r="R55" s="13" t="n">
        <v>7.6</v>
      </c>
      <c r="S55" s="13" t="n">
        <v>6.8</v>
      </c>
      <c r="T55" s="13" t="n">
        <v>7</v>
      </c>
      <c r="U55" s="13" t="n">
        <v>7.6</v>
      </c>
      <c r="V55" s="13">
        <f>IFERROR(ROUND(AVERAGE(R55:U55),1),"")</f>
        <v/>
      </c>
      <c r="W55" s="13" t="n">
        <v>8</v>
      </c>
      <c r="X55" s="13" t="n">
        <v>7.4</v>
      </c>
      <c r="Y55" s="13" t="n">
        <v>7</v>
      </c>
      <c r="Z55" s="13" t="n">
        <v>8.199999999999999</v>
      </c>
      <c r="AA55" s="13">
        <f>IFERROR(ROUND(AVERAGE(W55:Z55),1),"")</f>
        <v/>
      </c>
      <c r="AB55" s="13" t="n">
        <v>8</v>
      </c>
      <c r="AC55" s="13" t="n">
        <v>8</v>
      </c>
      <c r="AD55" s="13" t="n">
        <v>8</v>
      </c>
      <c r="AE55" s="13" t="n">
        <v>8</v>
      </c>
      <c r="AF55" s="13">
        <f>IFERROR(ROUND(AVERAGE(AB55:AE55),1),"")</f>
        <v/>
      </c>
      <c r="AG55" s="13" t="n">
        <v>7.2</v>
      </c>
      <c r="AH55" s="13" t="n">
        <v>6.6</v>
      </c>
      <c r="AI55" s="13" t="n">
        <v>7.8</v>
      </c>
      <c r="AJ55" s="13" t="n">
        <v>7.4</v>
      </c>
      <c r="AK55" s="13">
        <f>IFERROR(ROUND(AVERAGE(AG55:AJ55),1),"")</f>
        <v/>
      </c>
      <c r="AL55" s="13" t="n">
        <v>8.4</v>
      </c>
      <c r="AM55" s="13" t="n">
        <v>8.199999999999999</v>
      </c>
      <c r="AN55" s="13" t="n">
        <v>8.6</v>
      </c>
      <c r="AO55" s="13">
        <f>IFERROR(ROUND(AVERAGE(AL55:AN55),1),"")</f>
        <v/>
      </c>
      <c r="AP55" s="13" t="n">
        <v>7.8</v>
      </c>
      <c r="AQ55" s="13" t="n">
        <v>7.8</v>
      </c>
      <c r="AR55" s="13" t="n">
        <v>7</v>
      </c>
      <c r="AS55" s="13" t="n">
        <v>7.2</v>
      </c>
      <c r="AT55" s="13">
        <f>IFERROR(ROUND(AVERAGE(AP55:AS55),1),"")</f>
        <v/>
      </c>
      <c r="AU55" s="13" t="n">
        <v>7.8</v>
      </c>
      <c r="AV55" s="13" t="n">
        <v>8</v>
      </c>
      <c r="AW55" s="13" t="n">
        <v>8.199999999999999</v>
      </c>
      <c r="AX55" s="13" t="n">
        <v>7.8</v>
      </c>
      <c r="AY55" s="13">
        <f>IFERROR(ROUND(AVERAGE(AU55:AX55),1),"")</f>
        <v/>
      </c>
      <c r="AZ55" s="13">
        <f>ROUND(0.19*N(Q55)+0.17*N(V55)+0.17*N(AA55)+0.1*N(AF55)+0.09*N(AK55)+0.12*N(AT55)+0.16*N(AY55),1)</f>
        <v/>
      </c>
      <c r="BA55" s="13" t="inlineStr">
        <is>
          <t>128K</t>
        </is>
      </c>
      <c r="BB55" s="13" t="n">
        <v>16384</v>
      </c>
      <c r="BC55" s="13" t="inlineStr"/>
      <c r="BD55" s="13" t="inlineStr"/>
      <c r="BE55" s="13" t="inlineStr">
        <is>
          <t>high</t>
        </is>
      </c>
      <c r="BF55" s="13" t="n">
        <v>4</v>
      </c>
      <c r="BG55" s="13" t="n">
        <v>4</v>
      </c>
      <c r="BH55" s="13" t="inlineStr">
        <is>
          <t>Live multimodal chat (vision+audio), realtime</t>
        </is>
      </c>
      <c r="BI55" s="13" t="inlineStr">
        <is>
          <t>Hardest reasoning/coding</t>
        </is>
      </c>
      <c r="BJ55" s="14" t="inlineStr">
        <is>
          <t>H</t>
        </is>
      </c>
      <c r="BK55" s="13" t="inlineStr">
        <is>
          <t>Mature multimodal baseline; benchmark-anchored (AA Index, SWE-bench, GPQA, ARC-AGI-2, Aider, MMMU 2026-06)</t>
        </is>
      </c>
      <c r="BL55" s="13" t="inlineStr">
        <is>
          <t>2026-06-07</t>
        </is>
      </c>
    </row>
    <row r="56">
      <c r="A56" s="13" t="inlineStr">
        <is>
          <t>gpt-4o</t>
        </is>
      </c>
      <c r="B56" s="13" t="inlineStr">
        <is>
          <t>GPT-4o</t>
        </is>
      </c>
      <c r="C56" s="13" t="inlineStr">
        <is>
          <t>OpenAI</t>
        </is>
      </c>
      <c r="D56" s="13" t="inlineStr">
        <is>
          <t>GPT-4.x</t>
        </is>
      </c>
      <c r="E56" s="13" t="inlineStr">
        <is>
          <t>4o</t>
        </is>
      </c>
      <c r="F56" s="13" t="inlineStr">
        <is>
          <t>Current (API)</t>
        </is>
      </c>
      <c r="G56" s="13" t="inlineStr">
        <is>
          <t>Multimodal Workhorse</t>
        </is>
      </c>
      <c r="H56" s="13" t="inlineStr">
        <is>
          <t>GitHub Copilot CLI</t>
        </is>
      </c>
      <c r="I56" s="13" t="inlineStr">
        <is>
          <t>CLI</t>
        </is>
      </c>
      <c r="J56" s="13" t="inlineStr">
        <is>
          <t>Working (premium req)</t>
        </is>
      </c>
      <c r="K56" s="13" t="inlineStr">
        <is>
          <t>subscription_included</t>
        </is>
      </c>
      <c r="L56" s="13" t="inlineStr">
        <is>
          <t>No</t>
        </is>
      </c>
      <c r="M56" s="13" t="n">
        <v>7.5</v>
      </c>
      <c r="N56" s="13" t="n">
        <v>7</v>
      </c>
      <c r="O56" s="13" t="n">
        <v>7.2</v>
      </c>
      <c r="P56" s="13" t="n">
        <v>7.8</v>
      </c>
      <c r="Q56" s="13">
        <f>IFERROR(ROUND(AVERAGE(M56:P56),1),"")</f>
        <v/>
      </c>
      <c r="R56" s="13" t="n">
        <v>7.6</v>
      </c>
      <c r="S56" s="13" t="n">
        <v>6.8</v>
      </c>
      <c r="T56" s="13" t="n">
        <v>7</v>
      </c>
      <c r="U56" s="13" t="n">
        <v>7.6</v>
      </c>
      <c r="V56" s="13">
        <f>IFERROR(ROUND(AVERAGE(R56:U56),1),"")</f>
        <v/>
      </c>
      <c r="W56" s="13" t="n">
        <v>8</v>
      </c>
      <c r="X56" s="13" t="n">
        <v>7.4</v>
      </c>
      <c r="Y56" s="13" t="n">
        <v>7</v>
      </c>
      <c r="Z56" s="13" t="n">
        <v>8.199999999999999</v>
      </c>
      <c r="AA56" s="13">
        <f>IFERROR(ROUND(AVERAGE(W56:Z56),1),"")</f>
        <v/>
      </c>
      <c r="AB56" s="13" t="n">
        <v>8</v>
      </c>
      <c r="AC56" s="13" t="n">
        <v>8</v>
      </c>
      <c r="AD56" s="13" t="n">
        <v>8</v>
      </c>
      <c r="AE56" s="13" t="n">
        <v>8</v>
      </c>
      <c r="AF56" s="13">
        <f>IFERROR(ROUND(AVERAGE(AB56:AE56),1),"")</f>
        <v/>
      </c>
      <c r="AG56" s="13" t="n">
        <v>7.2</v>
      </c>
      <c r="AH56" s="13" t="n">
        <v>6.6</v>
      </c>
      <c r="AI56" s="13" t="n">
        <v>7.8</v>
      </c>
      <c r="AJ56" s="13" t="n">
        <v>7.4</v>
      </c>
      <c r="AK56" s="13">
        <f>IFERROR(ROUND(AVERAGE(AG56:AJ56),1),"")</f>
        <v/>
      </c>
      <c r="AL56" s="13" t="n">
        <v>8.4</v>
      </c>
      <c r="AM56" s="13" t="n">
        <v>8.199999999999999</v>
      </c>
      <c r="AN56" s="13" t="n">
        <v>8.6</v>
      </c>
      <c r="AO56" s="13">
        <f>IFERROR(ROUND(AVERAGE(AL56:AN56),1),"")</f>
        <v/>
      </c>
      <c r="AP56" s="13" t="n">
        <v>7.8</v>
      </c>
      <c r="AQ56" s="13" t="n">
        <v>7.8</v>
      </c>
      <c r="AR56" s="13" t="n">
        <v>7</v>
      </c>
      <c r="AS56" s="13" t="n">
        <v>7.2</v>
      </c>
      <c r="AT56" s="13">
        <f>IFERROR(ROUND(AVERAGE(AP56:AS56),1),"")</f>
        <v/>
      </c>
      <c r="AU56" s="13" t="n">
        <v>7.8</v>
      </c>
      <c r="AV56" s="13" t="n">
        <v>8</v>
      </c>
      <c r="AW56" s="13" t="n">
        <v>8.199999999999999</v>
      </c>
      <c r="AX56" s="13" t="n">
        <v>7.8</v>
      </c>
      <c r="AY56" s="13">
        <f>IFERROR(ROUND(AVERAGE(AU56:AX56),1),"")</f>
        <v/>
      </c>
      <c r="AZ56" s="13">
        <f>ROUND(0.19*N(Q56)+0.17*N(V56)+0.17*N(AA56)+0.1*N(AF56)+0.09*N(AK56)+0.12*N(AT56)+0.16*N(AY56),1)</f>
        <v/>
      </c>
      <c r="BA56" s="13" t="inlineStr">
        <is>
          <t>128K</t>
        </is>
      </c>
      <c r="BB56" s="13" t="n">
        <v>16384</v>
      </c>
      <c r="BC56" s="13" t="inlineStr"/>
      <c r="BD56" s="13" t="inlineStr"/>
      <c r="BE56" s="13" t="inlineStr">
        <is>
          <t>high</t>
        </is>
      </c>
      <c r="BF56" s="13" t="n">
        <v>4</v>
      </c>
      <c r="BG56" s="13" t="n">
        <v>4</v>
      </c>
      <c r="BH56" s="13" t="inlineStr">
        <is>
          <t>Live multimodal chat (vision+audio), realtime</t>
        </is>
      </c>
      <c r="BI56" s="13" t="inlineStr">
        <is>
          <t>Hardest reasoning/coding</t>
        </is>
      </c>
      <c r="BJ56" s="14" t="inlineStr">
        <is>
          <t>H</t>
        </is>
      </c>
      <c r="BK56" s="13" t="inlineStr">
        <is>
          <t>Mature multimodal baseline; benchmark-anchored (AA Index, SWE-bench, GPQA, ARC-AGI-2, Aider, MMMU 2026-06)</t>
        </is>
      </c>
      <c r="BL56" s="13" t="inlineStr">
        <is>
          <t>2026-06-07</t>
        </is>
      </c>
    </row>
    <row r="57">
      <c r="A57" s="13" t="inlineStr">
        <is>
          <t>gpt-4o</t>
        </is>
      </c>
      <c r="B57" s="13" t="inlineStr">
        <is>
          <t>GPT-4o</t>
        </is>
      </c>
      <c r="C57" s="13" t="inlineStr">
        <is>
          <t>OpenAI</t>
        </is>
      </c>
      <c r="D57" s="13" t="inlineStr">
        <is>
          <t>GPT-4.x</t>
        </is>
      </c>
      <c r="E57" s="13" t="inlineStr">
        <is>
          <t>4o</t>
        </is>
      </c>
      <c r="F57" s="13" t="inlineStr">
        <is>
          <t>Current (API)</t>
        </is>
      </c>
      <c r="G57" s="13" t="inlineStr">
        <is>
          <t>Multimodal Workhorse</t>
        </is>
      </c>
      <c r="H57" s="13" t="inlineStr">
        <is>
          <t>Azure AI Foundry</t>
        </is>
      </c>
      <c r="I57" s="13" t="inlineStr">
        <is>
          <t>Aggregator</t>
        </is>
      </c>
      <c r="J57" s="13" t="inlineStr">
        <is>
          <t>Not credentialed</t>
        </is>
      </c>
      <c r="K57" s="13" t="inlineStr">
        <is>
          <t>metered (not configured)</t>
        </is>
      </c>
      <c r="L57" s="13" t="inlineStr">
        <is>
          <t>No</t>
        </is>
      </c>
      <c r="M57" s="13" t="n">
        <v>7.5</v>
      </c>
      <c r="N57" s="13" t="n">
        <v>7</v>
      </c>
      <c r="O57" s="13" t="n">
        <v>7.2</v>
      </c>
      <c r="P57" s="13" t="n">
        <v>7.8</v>
      </c>
      <c r="Q57" s="13">
        <f>IFERROR(ROUND(AVERAGE(M57:P57),1),"")</f>
        <v/>
      </c>
      <c r="R57" s="13" t="n">
        <v>7.6</v>
      </c>
      <c r="S57" s="13" t="n">
        <v>6.8</v>
      </c>
      <c r="T57" s="13" t="n">
        <v>7</v>
      </c>
      <c r="U57" s="13" t="n">
        <v>7.6</v>
      </c>
      <c r="V57" s="13">
        <f>IFERROR(ROUND(AVERAGE(R57:U57),1),"")</f>
        <v/>
      </c>
      <c r="W57" s="13" t="n">
        <v>8</v>
      </c>
      <c r="X57" s="13" t="n">
        <v>7.4</v>
      </c>
      <c r="Y57" s="13" t="n">
        <v>7</v>
      </c>
      <c r="Z57" s="13" t="n">
        <v>8.199999999999999</v>
      </c>
      <c r="AA57" s="13">
        <f>IFERROR(ROUND(AVERAGE(W57:Z57),1),"")</f>
        <v/>
      </c>
      <c r="AB57" s="13" t="n">
        <v>8</v>
      </c>
      <c r="AC57" s="13" t="n">
        <v>8</v>
      </c>
      <c r="AD57" s="13" t="n">
        <v>8</v>
      </c>
      <c r="AE57" s="13" t="n">
        <v>8</v>
      </c>
      <c r="AF57" s="13">
        <f>IFERROR(ROUND(AVERAGE(AB57:AE57),1),"")</f>
        <v/>
      </c>
      <c r="AG57" s="13" t="n">
        <v>7.2</v>
      </c>
      <c r="AH57" s="13" t="n">
        <v>6.6</v>
      </c>
      <c r="AI57" s="13" t="n">
        <v>7.8</v>
      </c>
      <c r="AJ57" s="13" t="n">
        <v>7.4</v>
      </c>
      <c r="AK57" s="13">
        <f>IFERROR(ROUND(AVERAGE(AG57:AJ57),1),"")</f>
        <v/>
      </c>
      <c r="AL57" s="13" t="n">
        <v>8.4</v>
      </c>
      <c r="AM57" s="13" t="n">
        <v>8.199999999999999</v>
      </c>
      <c r="AN57" s="13" t="n">
        <v>8.6</v>
      </c>
      <c r="AO57" s="13">
        <f>IFERROR(ROUND(AVERAGE(AL57:AN57),1),"")</f>
        <v/>
      </c>
      <c r="AP57" s="13" t="n">
        <v>7.8</v>
      </c>
      <c r="AQ57" s="13" t="n">
        <v>7.8</v>
      </c>
      <c r="AR57" s="13" t="n">
        <v>7</v>
      </c>
      <c r="AS57" s="13" t="n">
        <v>7.2</v>
      </c>
      <c r="AT57" s="13">
        <f>IFERROR(ROUND(AVERAGE(AP57:AS57),1),"")</f>
        <v/>
      </c>
      <c r="AU57" s="13" t="n">
        <v>7.8</v>
      </c>
      <c r="AV57" s="13" t="n">
        <v>8</v>
      </c>
      <c r="AW57" s="13" t="n">
        <v>8.199999999999999</v>
      </c>
      <c r="AX57" s="13" t="n">
        <v>7.8</v>
      </c>
      <c r="AY57" s="13">
        <f>IFERROR(ROUND(AVERAGE(AU57:AX57),1),"")</f>
        <v/>
      </c>
      <c r="AZ57" s="13">
        <f>ROUND(0.19*N(Q57)+0.17*N(V57)+0.17*N(AA57)+0.1*N(AF57)+0.09*N(AK57)+0.12*N(AT57)+0.16*N(AY57),1)</f>
        <v/>
      </c>
      <c r="BA57" s="13" t="inlineStr">
        <is>
          <t>128K</t>
        </is>
      </c>
      <c r="BB57" s="13" t="n">
        <v>16384</v>
      </c>
      <c r="BC57" s="13" t="inlineStr"/>
      <c r="BD57" s="13" t="inlineStr"/>
      <c r="BE57" s="13" t="inlineStr">
        <is>
          <t>high</t>
        </is>
      </c>
      <c r="BF57" s="13" t="n">
        <v>4</v>
      </c>
      <c r="BG57" s="13" t="n">
        <v>4</v>
      </c>
      <c r="BH57" s="13" t="inlineStr">
        <is>
          <t>Live multimodal chat (vision+audio), realtime</t>
        </is>
      </c>
      <c r="BI57" s="13" t="inlineStr">
        <is>
          <t>Hardest reasoning/coding</t>
        </is>
      </c>
      <c r="BJ57" s="14" t="inlineStr">
        <is>
          <t>H</t>
        </is>
      </c>
      <c r="BK57" s="13" t="inlineStr">
        <is>
          <t>Mature multimodal baseline; benchmark-anchored (AA Index, SWE-bench, GPQA, ARC-AGI-2, Aider, MMMU 2026-06)</t>
        </is>
      </c>
      <c r="BL57" s="13" t="inlineStr">
        <is>
          <t>2026-06-07</t>
        </is>
      </c>
    </row>
    <row r="58">
      <c r="A58" s="13" t="inlineStr">
        <is>
          <t>gpt-4o-mini</t>
        </is>
      </c>
      <c r="B58" s="13" t="inlineStr">
        <is>
          <t>GPT-4o Mini</t>
        </is>
      </c>
      <c r="C58" s="13" t="inlineStr">
        <is>
          <t>OpenAI</t>
        </is>
      </c>
      <c r="D58" s="13" t="inlineStr">
        <is>
          <t>GPT-4.x</t>
        </is>
      </c>
      <c r="E58" s="13" t="inlineStr">
        <is>
          <t>4o-mini</t>
        </is>
      </c>
      <c r="F58" s="13" t="inlineStr">
        <is>
          <t>Current (API)</t>
        </is>
      </c>
      <c r="G58" s="13" t="inlineStr">
        <is>
          <t>Fast-Cheap</t>
        </is>
      </c>
      <c r="H58" s="13" t="inlineStr">
        <is>
          <t>OpenAI API</t>
        </is>
      </c>
      <c r="I58" s="13" t="inlineStr">
        <is>
          <t>HTTP API</t>
        </is>
      </c>
      <c r="J58" s="13" t="inlineStr">
        <is>
          <t>No standalone key</t>
        </is>
      </c>
      <c r="K58" s="13" t="inlineStr">
        <is>
          <t>metered (not configured)</t>
        </is>
      </c>
      <c r="L58" s="13" t="inlineStr">
        <is>
          <t>No</t>
        </is>
      </c>
      <c r="M58" s="13" t="n">
        <v>6.6</v>
      </c>
      <c r="N58" s="13" t="n">
        <v>6</v>
      </c>
      <c r="O58" s="13" t="n">
        <v>6</v>
      </c>
      <c r="P58" s="13" t="n">
        <v>6.6</v>
      </c>
      <c r="Q58" s="13">
        <f>IFERROR(ROUND(AVERAGE(M58:P58),1),"")</f>
        <v/>
      </c>
      <c r="R58" s="13" t="n">
        <v>6.6</v>
      </c>
      <c r="S58" s="13" t="n">
        <v>5.8</v>
      </c>
      <c r="T58" s="13" t="n">
        <v>5.8</v>
      </c>
      <c r="U58" s="13" t="n">
        <v>6.4</v>
      </c>
      <c r="V58" s="13">
        <f>IFERROR(ROUND(AVERAGE(R58:U58),1),"")</f>
        <v/>
      </c>
      <c r="W58" s="13" t="n">
        <v>7</v>
      </c>
      <c r="X58" s="13" t="n">
        <v>6.4</v>
      </c>
      <c r="Y58" s="13" t="n">
        <v>6</v>
      </c>
      <c r="Z58" s="13" t="n">
        <v>7.2</v>
      </c>
      <c r="AA58" s="13">
        <f>IFERROR(ROUND(AVERAGE(W58:Z58),1),"")</f>
        <v/>
      </c>
      <c r="AB58" s="13" t="n">
        <v>7</v>
      </c>
      <c r="AC58" s="13" t="n">
        <v>7</v>
      </c>
      <c r="AD58" s="13" t="n">
        <v>7</v>
      </c>
      <c r="AE58" s="13" t="n">
        <v>6.8</v>
      </c>
      <c r="AF58" s="13">
        <f>IFERROR(ROUND(AVERAGE(AB58:AE58),1),"")</f>
        <v/>
      </c>
      <c r="AG58" s="13" t="n">
        <v>6.2</v>
      </c>
      <c r="AH58" s="13" t="n">
        <v>5.6</v>
      </c>
      <c r="AI58" s="13" t="n">
        <v>6.8</v>
      </c>
      <c r="AJ58" s="13" t="n">
        <v>6.2</v>
      </c>
      <c r="AK58" s="13">
        <f>IFERROR(ROUND(AVERAGE(AG58:AJ58),1),"")</f>
        <v/>
      </c>
      <c r="AL58" s="13" t="n">
        <v>7.2</v>
      </c>
      <c r="AM58" s="13" t="n">
        <v>7</v>
      </c>
      <c r="AN58" s="13" t="n">
        <v>7</v>
      </c>
      <c r="AO58" s="13">
        <f>IFERROR(ROUND(AVERAGE(AL58:AN58),1),"")</f>
        <v/>
      </c>
      <c r="AP58" s="13" t="n">
        <v>8.800000000000001</v>
      </c>
      <c r="AQ58" s="13" t="n">
        <v>8.800000000000001</v>
      </c>
      <c r="AR58" s="13" t="n">
        <v>7</v>
      </c>
      <c r="AS58" s="13" t="n">
        <v>8.6</v>
      </c>
      <c r="AT58" s="13">
        <f>IFERROR(ROUND(AVERAGE(AP58:AS58),1),"")</f>
        <v/>
      </c>
      <c r="AU58" s="13" t="n">
        <v>7</v>
      </c>
      <c r="AV58" s="13" t="n">
        <v>7.2</v>
      </c>
      <c r="AW58" s="13" t="n">
        <v>7.6</v>
      </c>
      <c r="AX58" s="13" t="n">
        <v>7</v>
      </c>
      <c r="AY58" s="13">
        <f>IFERROR(ROUND(AVERAGE(AU58:AX58),1),"")</f>
        <v/>
      </c>
      <c r="AZ58" s="13">
        <f>ROUND(0.19*N(Q58)+0.17*N(V58)+0.17*N(AA58)+0.1*N(AF58)+0.09*N(AK58)+0.12*N(AT58)+0.16*N(AY58),1)</f>
        <v/>
      </c>
      <c r="BA58" s="13" t="inlineStr">
        <is>
          <t>128K</t>
        </is>
      </c>
      <c r="BB58" s="13" t="n">
        <v>16384</v>
      </c>
      <c r="BC58" s="13" t="inlineStr"/>
      <c r="BD58" s="13" t="inlineStr"/>
      <c r="BE58" s="13" t="inlineStr">
        <is>
          <t>medium</t>
        </is>
      </c>
      <c r="BF58" s="13" t="n">
        <v>3</v>
      </c>
      <c r="BG58" s="13" t="n">
        <v>3</v>
      </c>
      <c r="BH58" s="13" t="inlineStr">
        <is>
          <t>Cheap multimodal classification/extraction</t>
        </is>
      </c>
      <c r="BI58" s="13" t="inlineStr">
        <is>
          <t>Depth tasks</t>
        </is>
      </c>
      <c r="BJ58" s="15" t="inlineStr">
        <is>
          <t>M</t>
        </is>
      </c>
      <c r="BK58" s="13" t="inlineStr">
        <is>
          <t>Small multimodal; family-inherited estimate (scaled from flagship); verify before HIGH-stakes routing</t>
        </is>
      </c>
      <c r="BL58" s="13" t="inlineStr">
        <is>
          <t>2026-06-07</t>
        </is>
      </c>
    </row>
    <row r="59">
      <c r="A59" s="13" t="inlineStr">
        <is>
          <t>gpt-4o-mini</t>
        </is>
      </c>
      <c r="B59" s="13" t="inlineStr">
        <is>
          <t>GPT-4o Mini</t>
        </is>
      </c>
      <c r="C59" s="13" t="inlineStr">
        <is>
          <t>OpenAI</t>
        </is>
      </c>
      <c r="D59" s="13" t="inlineStr">
        <is>
          <t>GPT-4.x</t>
        </is>
      </c>
      <c r="E59" s="13" t="inlineStr">
        <is>
          <t>4o-mini</t>
        </is>
      </c>
      <c r="F59" s="13" t="inlineStr">
        <is>
          <t>Current (API)</t>
        </is>
      </c>
      <c r="G59" s="13" t="inlineStr">
        <is>
          <t>Fast-Cheap</t>
        </is>
      </c>
      <c r="H59" s="13" t="inlineStr">
        <is>
          <t>Azure AI Foundry</t>
        </is>
      </c>
      <c r="I59" s="13" t="inlineStr">
        <is>
          <t>Aggregator</t>
        </is>
      </c>
      <c r="J59" s="13" t="inlineStr">
        <is>
          <t>Not credentialed</t>
        </is>
      </c>
      <c r="K59" s="13" t="inlineStr">
        <is>
          <t>metered (not configured)</t>
        </is>
      </c>
      <c r="L59" s="13" t="inlineStr">
        <is>
          <t>No</t>
        </is>
      </c>
      <c r="M59" s="13" t="n">
        <v>6.6</v>
      </c>
      <c r="N59" s="13" t="n">
        <v>6</v>
      </c>
      <c r="O59" s="13" t="n">
        <v>6</v>
      </c>
      <c r="P59" s="13" t="n">
        <v>6.6</v>
      </c>
      <c r="Q59" s="13">
        <f>IFERROR(ROUND(AVERAGE(M59:P59),1),"")</f>
        <v/>
      </c>
      <c r="R59" s="13" t="n">
        <v>6.6</v>
      </c>
      <c r="S59" s="13" t="n">
        <v>5.8</v>
      </c>
      <c r="T59" s="13" t="n">
        <v>5.8</v>
      </c>
      <c r="U59" s="13" t="n">
        <v>6.4</v>
      </c>
      <c r="V59" s="13">
        <f>IFERROR(ROUND(AVERAGE(R59:U59),1),"")</f>
        <v/>
      </c>
      <c r="W59" s="13" t="n">
        <v>7</v>
      </c>
      <c r="X59" s="13" t="n">
        <v>6.4</v>
      </c>
      <c r="Y59" s="13" t="n">
        <v>6</v>
      </c>
      <c r="Z59" s="13" t="n">
        <v>7.2</v>
      </c>
      <c r="AA59" s="13">
        <f>IFERROR(ROUND(AVERAGE(W59:Z59),1),"")</f>
        <v/>
      </c>
      <c r="AB59" s="13" t="n">
        <v>7</v>
      </c>
      <c r="AC59" s="13" t="n">
        <v>7</v>
      </c>
      <c r="AD59" s="13" t="n">
        <v>7</v>
      </c>
      <c r="AE59" s="13" t="n">
        <v>6.8</v>
      </c>
      <c r="AF59" s="13">
        <f>IFERROR(ROUND(AVERAGE(AB59:AE59),1),"")</f>
        <v/>
      </c>
      <c r="AG59" s="13" t="n">
        <v>6.2</v>
      </c>
      <c r="AH59" s="13" t="n">
        <v>5.6</v>
      </c>
      <c r="AI59" s="13" t="n">
        <v>6.8</v>
      </c>
      <c r="AJ59" s="13" t="n">
        <v>6.2</v>
      </c>
      <c r="AK59" s="13">
        <f>IFERROR(ROUND(AVERAGE(AG59:AJ59),1),"")</f>
        <v/>
      </c>
      <c r="AL59" s="13" t="n">
        <v>7.2</v>
      </c>
      <c r="AM59" s="13" t="n">
        <v>7</v>
      </c>
      <c r="AN59" s="13" t="n">
        <v>7</v>
      </c>
      <c r="AO59" s="13">
        <f>IFERROR(ROUND(AVERAGE(AL59:AN59),1),"")</f>
        <v/>
      </c>
      <c r="AP59" s="13" t="n">
        <v>8.800000000000001</v>
      </c>
      <c r="AQ59" s="13" t="n">
        <v>8.800000000000001</v>
      </c>
      <c r="AR59" s="13" t="n">
        <v>7</v>
      </c>
      <c r="AS59" s="13" t="n">
        <v>8.6</v>
      </c>
      <c r="AT59" s="13">
        <f>IFERROR(ROUND(AVERAGE(AP59:AS59),1),"")</f>
        <v/>
      </c>
      <c r="AU59" s="13" t="n">
        <v>7</v>
      </c>
      <c r="AV59" s="13" t="n">
        <v>7.2</v>
      </c>
      <c r="AW59" s="13" t="n">
        <v>7.6</v>
      </c>
      <c r="AX59" s="13" t="n">
        <v>7</v>
      </c>
      <c r="AY59" s="13">
        <f>IFERROR(ROUND(AVERAGE(AU59:AX59),1),"")</f>
        <v/>
      </c>
      <c r="AZ59" s="13">
        <f>ROUND(0.19*N(Q59)+0.17*N(V59)+0.17*N(AA59)+0.1*N(AF59)+0.09*N(AK59)+0.12*N(AT59)+0.16*N(AY59),1)</f>
        <v/>
      </c>
      <c r="BA59" s="13" t="inlineStr">
        <is>
          <t>128K</t>
        </is>
      </c>
      <c r="BB59" s="13" t="n">
        <v>16384</v>
      </c>
      <c r="BC59" s="13" t="inlineStr"/>
      <c r="BD59" s="13" t="inlineStr"/>
      <c r="BE59" s="13" t="inlineStr">
        <is>
          <t>medium</t>
        </is>
      </c>
      <c r="BF59" s="13" t="n">
        <v>3</v>
      </c>
      <c r="BG59" s="13" t="n">
        <v>3</v>
      </c>
      <c r="BH59" s="13" t="inlineStr">
        <is>
          <t>Cheap multimodal classification/extraction</t>
        </is>
      </c>
      <c r="BI59" s="13" t="inlineStr">
        <is>
          <t>Depth tasks</t>
        </is>
      </c>
      <c r="BJ59" s="15" t="inlineStr">
        <is>
          <t>M</t>
        </is>
      </c>
      <c r="BK59" s="13" t="inlineStr">
        <is>
          <t>Small multimodal; family-inherited estimate (scaled from flagship); verify before HIGH-stakes routing</t>
        </is>
      </c>
      <c r="BL59" s="13" t="inlineStr">
        <is>
          <t>2026-06-07</t>
        </is>
      </c>
    </row>
    <row r="60">
      <c r="A60" s="13" t="inlineStr">
        <is>
          <t>gpt-oss-120b</t>
        </is>
      </c>
      <c r="B60" s="13" t="inlineStr">
        <is>
          <t>GPT-OSS-120B</t>
        </is>
      </c>
      <c r="C60" s="13" t="inlineStr">
        <is>
          <t>OpenAI</t>
        </is>
      </c>
      <c r="D60" s="13" t="inlineStr">
        <is>
          <t>GPT-OSS (open weight)</t>
        </is>
      </c>
      <c r="E60" s="13" t="inlineStr">
        <is>
          <t>120b</t>
        </is>
      </c>
      <c r="F60" s="13" t="inlineStr">
        <is>
          <t>Current</t>
        </is>
      </c>
      <c r="G60" s="13" t="inlineStr">
        <is>
          <t>Open-Weight Flagship</t>
        </is>
      </c>
      <c r="H60" s="13" t="inlineStr">
        <is>
          <t>Groq</t>
        </is>
      </c>
      <c r="I60" s="13" t="inlineStr">
        <is>
          <t>Aggregator</t>
        </is>
      </c>
      <c r="J60" s="13" t="inlineStr">
        <is>
          <t>Not-keyed</t>
        </is>
      </c>
      <c r="K60" s="13" t="inlineStr">
        <is>
          <t>metered (not configured)</t>
        </is>
      </c>
      <c r="L60" s="13" t="inlineStr">
        <is>
          <t>No</t>
        </is>
      </c>
      <c r="M60" s="13" t="n">
        <v>7.8</v>
      </c>
      <c r="N60" s="13" t="n">
        <v>7.4</v>
      </c>
      <c r="O60" s="13" t="n">
        <v>7.2</v>
      </c>
      <c r="P60" s="13" t="n">
        <v>7.4</v>
      </c>
      <c r="Q60" s="13">
        <f>IFERROR(ROUND(AVERAGE(M60:P60),1),"")</f>
        <v/>
      </c>
      <c r="R60" s="13" t="n">
        <v>7.4</v>
      </c>
      <c r="S60" s="13" t="n">
        <v>6.8</v>
      </c>
      <c r="T60" s="13" t="n">
        <v>7</v>
      </c>
      <c r="U60" s="13" t="n">
        <v>7.4</v>
      </c>
      <c r="V60" s="13">
        <f>IFERROR(ROUND(AVERAGE(R60:U60),1),"")</f>
        <v/>
      </c>
      <c r="W60" s="13" t="n">
        <v>7.6</v>
      </c>
      <c r="X60" s="13" t="n">
        <v>7.2</v>
      </c>
      <c r="Y60" s="13" t="n">
        <v>6.8</v>
      </c>
      <c r="Z60" s="13" t="n">
        <v>7.6</v>
      </c>
      <c r="AA60" s="13">
        <f>IFERROR(ROUND(AVERAGE(W60:Z60),1),"")</f>
        <v/>
      </c>
      <c r="AB60" s="13" t="n">
        <v>7.2</v>
      </c>
      <c r="AC60" s="13" t="n">
        <v>7.2</v>
      </c>
      <c r="AD60" s="13" t="n">
        <v>7.2</v>
      </c>
      <c r="AE60" s="13" t="n">
        <v>7</v>
      </c>
      <c r="AF60" s="13">
        <f>IFERROR(ROUND(AVERAGE(AB60:AE60),1),"")</f>
        <v/>
      </c>
      <c r="AG60" s="13" t="n">
        <v>7</v>
      </c>
      <c r="AH60" s="13" t="n">
        <v>6.4</v>
      </c>
      <c r="AI60" s="13" t="n">
        <v>7.4</v>
      </c>
      <c r="AJ60" s="13" t="n">
        <v>7.2</v>
      </c>
      <c r="AK60" s="13">
        <f>IFERROR(ROUND(AVERAGE(AG60:AJ60),1),"")</f>
        <v/>
      </c>
      <c r="AL60" s="13" t="inlineStr"/>
      <c r="AM60" s="13" t="inlineStr"/>
      <c r="AN60" s="13" t="inlineStr"/>
      <c r="AO60" s="13">
        <f>IFERROR(ROUND(AVERAGE(AL60:AN60),1),"")</f>
        <v/>
      </c>
      <c r="AP60" s="13" t="n">
        <v>8</v>
      </c>
      <c r="AQ60" s="13" t="n">
        <v>8</v>
      </c>
      <c r="AR60" s="13" t="n">
        <v>7</v>
      </c>
      <c r="AS60" s="13" t="n">
        <v>8.5</v>
      </c>
      <c r="AT60" s="13">
        <f>IFERROR(ROUND(AVERAGE(AP60:AS60),1),"")</f>
        <v/>
      </c>
      <c r="AU60" s="13" t="n">
        <v>7.2</v>
      </c>
      <c r="AV60" s="13" t="n">
        <v>7.4</v>
      </c>
      <c r="AW60" s="13" t="n">
        <v>7.4</v>
      </c>
      <c r="AX60" s="13" t="n">
        <v>7.2</v>
      </c>
      <c r="AY60" s="13">
        <f>IFERROR(ROUND(AVERAGE(AU60:AX60),1),"")</f>
        <v/>
      </c>
      <c r="AZ60" s="13">
        <f>ROUND(0.19*N(Q60)+0.17*N(V60)+0.17*N(AA60)+0.1*N(AF60)+0.09*N(AK60)+0.12*N(AT60)+0.16*N(AY60),1)</f>
        <v/>
      </c>
      <c r="BA60" s="13" t="inlineStr">
        <is>
          <t>128K</t>
        </is>
      </c>
      <c r="BB60" s="13" t="n">
        <v>32000</v>
      </c>
      <c r="BC60" s="13" t="inlineStr"/>
      <c r="BD60" s="13" t="inlineStr"/>
      <c r="BE60" s="13" t="inlineStr">
        <is>
          <t>high</t>
        </is>
      </c>
      <c r="BF60" s="13" t="n">
        <v>4</v>
      </c>
      <c r="BG60" s="13" t="n">
        <v>4</v>
      </c>
      <c r="BH60" s="13" t="inlineStr">
        <is>
          <t>Best open-weight on H100; self-host</t>
        </is>
      </c>
      <c r="BI60" s="13" t="inlineStr">
        <is>
          <t>Local on this Dell (needs H100)</t>
        </is>
      </c>
      <c r="BJ60" s="15" t="inlineStr">
        <is>
          <t>M</t>
        </is>
      </c>
      <c r="BK60" s="13" t="inlineStr">
        <is>
          <t>Open-weight; via Groq/Together/Antigravity; family-inherited estimate (scaled from flagship); verify before HIGH-stakes routing</t>
        </is>
      </c>
      <c r="BL60" s="13" t="inlineStr">
        <is>
          <t>2026-06-07</t>
        </is>
      </c>
    </row>
    <row r="61">
      <c r="A61" s="13" t="inlineStr">
        <is>
          <t>gpt-oss-120b</t>
        </is>
      </c>
      <c r="B61" s="13" t="inlineStr">
        <is>
          <t>GPT-OSS-120B</t>
        </is>
      </c>
      <c r="C61" s="13" t="inlineStr">
        <is>
          <t>OpenAI</t>
        </is>
      </c>
      <c r="D61" s="13" t="inlineStr">
        <is>
          <t>GPT-OSS (open weight)</t>
        </is>
      </c>
      <c r="E61" s="13" t="inlineStr">
        <is>
          <t>120b</t>
        </is>
      </c>
      <c r="F61" s="13" t="inlineStr">
        <is>
          <t>Current</t>
        </is>
      </c>
      <c r="G61" s="13" t="inlineStr">
        <is>
          <t>Open-Weight Flagship</t>
        </is>
      </c>
      <c r="H61" s="13" t="inlineStr">
        <is>
          <t>Together AI</t>
        </is>
      </c>
      <c r="I61" s="13" t="inlineStr">
        <is>
          <t>Aggregator</t>
        </is>
      </c>
      <c r="J61" s="13" t="inlineStr">
        <is>
          <t>Not-keyed</t>
        </is>
      </c>
      <c r="K61" s="13" t="inlineStr">
        <is>
          <t>metered (not configured)</t>
        </is>
      </c>
      <c r="L61" s="13" t="inlineStr">
        <is>
          <t>No</t>
        </is>
      </c>
      <c r="M61" s="13" t="n">
        <v>7.8</v>
      </c>
      <c r="N61" s="13" t="n">
        <v>7.4</v>
      </c>
      <c r="O61" s="13" t="n">
        <v>7.2</v>
      </c>
      <c r="P61" s="13" t="n">
        <v>7.4</v>
      </c>
      <c r="Q61" s="13">
        <f>IFERROR(ROUND(AVERAGE(M61:P61),1),"")</f>
        <v/>
      </c>
      <c r="R61" s="13" t="n">
        <v>7.4</v>
      </c>
      <c r="S61" s="13" t="n">
        <v>6.8</v>
      </c>
      <c r="T61" s="13" t="n">
        <v>7</v>
      </c>
      <c r="U61" s="13" t="n">
        <v>7.4</v>
      </c>
      <c r="V61" s="13">
        <f>IFERROR(ROUND(AVERAGE(R61:U61),1),"")</f>
        <v/>
      </c>
      <c r="W61" s="13" t="n">
        <v>7.6</v>
      </c>
      <c r="X61" s="13" t="n">
        <v>7.2</v>
      </c>
      <c r="Y61" s="13" t="n">
        <v>6.8</v>
      </c>
      <c r="Z61" s="13" t="n">
        <v>7.6</v>
      </c>
      <c r="AA61" s="13">
        <f>IFERROR(ROUND(AVERAGE(W61:Z61),1),"")</f>
        <v/>
      </c>
      <c r="AB61" s="13" t="n">
        <v>7.2</v>
      </c>
      <c r="AC61" s="13" t="n">
        <v>7.2</v>
      </c>
      <c r="AD61" s="13" t="n">
        <v>7.2</v>
      </c>
      <c r="AE61" s="13" t="n">
        <v>7</v>
      </c>
      <c r="AF61" s="13">
        <f>IFERROR(ROUND(AVERAGE(AB61:AE61),1),"")</f>
        <v/>
      </c>
      <c r="AG61" s="13" t="n">
        <v>7</v>
      </c>
      <c r="AH61" s="13" t="n">
        <v>6.4</v>
      </c>
      <c r="AI61" s="13" t="n">
        <v>7.4</v>
      </c>
      <c r="AJ61" s="13" t="n">
        <v>7.2</v>
      </c>
      <c r="AK61" s="13">
        <f>IFERROR(ROUND(AVERAGE(AG61:AJ61),1),"")</f>
        <v/>
      </c>
      <c r="AL61" s="13" t="inlineStr"/>
      <c r="AM61" s="13" t="inlineStr"/>
      <c r="AN61" s="13" t="inlineStr"/>
      <c r="AO61" s="13">
        <f>IFERROR(ROUND(AVERAGE(AL61:AN61),1),"")</f>
        <v/>
      </c>
      <c r="AP61" s="13" t="n">
        <v>8</v>
      </c>
      <c r="AQ61" s="13" t="n">
        <v>8</v>
      </c>
      <c r="AR61" s="13" t="n">
        <v>7</v>
      </c>
      <c r="AS61" s="13" t="n">
        <v>8.5</v>
      </c>
      <c r="AT61" s="13">
        <f>IFERROR(ROUND(AVERAGE(AP61:AS61),1),"")</f>
        <v/>
      </c>
      <c r="AU61" s="13" t="n">
        <v>7.2</v>
      </c>
      <c r="AV61" s="13" t="n">
        <v>7.4</v>
      </c>
      <c r="AW61" s="13" t="n">
        <v>7.4</v>
      </c>
      <c r="AX61" s="13" t="n">
        <v>7.2</v>
      </c>
      <c r="AY61" s="13">
        <f>IFERROR(ROUND(AVERAGE(AU61:AX61),1),"")</f>
        <v/>
      </c>
      <c r="AZ61" s="13">
        <f>ROUND(0.19*N(Q61)+0.17*N(V61)+0.17*N(AA61)+0.1*N(AF61)+0.09*N(AK61)+0.12*N(AT61)+0.16*N(AY61),1)</f>
        <v/>
      </c>
      <c r="BA61" s="13" t="inlineStr">
        <is>
          <t>128K</t>
        </is>
      </c>
      <c r="BB61" s="13" t="n">
        <v>32000</v>
      </c>
      <c r="BC61" s="13" t="inlineStr"/>
      <c r="BD61" s="13" t="inlineStr"/>
      <c r="BE61" s="13" t="inlineStr">
        <is>
          <t>high</t>
        </is>
      </c>
      <c r="BF61" s="13" t="n">
        <v>4</v>
      </c>
      <c r="BG61" s="13" t="n">
        <v>4</v>
      </c>
      <c r="BH61" s="13" t="inlineStr">
        <is>
          <t>Best open-weight on H100; self-host</t>
        </is>
      </c>
      <c r="BI61" s="13" t="inlineStr">
        <is>
          <t>Local on this Dell (needs H100)</t>
        </is>
      </c>
      <c r="BJ61" s="15" t="inlineStr">
        <is>
          <t>M</t>
        </is>
      </c>
      <c r="BK61" s="13" t="inlineStr">
        <is>
          <t>Open-weight; via Groq/Together/Antigravity; family-inherited estimate (scaled from flagship); verify before HIGH-stakes routing</t>
        </is>
      </c>
      <c r="BL61" s="13" t="inlineStr">
        <is>
          <t>2026-06-07</t>
        </is>
      </c>
    </row>
    <row r="62">
      <c r="A62" s="13" t="inlineStr">
        <is>
          <t>gpt-oss-120b</t>
        </is>
      </c>
      <c r="B62" s="13" t="inlineStr">
        <is>
          <t>GPT-OSS-120B</t>
        </is>
      </c>
      <c r="C62" s="13" t="inlineStr">
        <is>
          <t>OpenAI</t>
        </is>
      </c>
      <c r="D62" s="13" t="inlineStr">
        <is>
          <t>GPT-OSS (open weight)</t>
        </is>
      </c>
      <c r="E62" s="13" t="inlineStr">
        <is>
          <t>120b</t>
        </is>
      </c>
      <c r="F62" s="13" t="inlineStr">
        <is>
          <t>Current</t>
        </is>
      </c>
      <c r="G62" s="13" t="inlineStr">
        <is>
          <t>Open-Weight Flagship</t>
        </is>
      </c>
      <c r="H62" s="13" t="inlineStr">
        <is>
          <t>Google Antigravity</t>
        </is>
      </c>
      <c r="I62" s="13" t="inlineStr">
        <is>
          <t>IDE app</t>
        </is>
      </c>
      <c r="J62" s="13" t="inlineStr">
        <is>
          <t>Installed</t>
        </is>
      </c>
      <c r="K62" s="13" t="inlineStr">
        <is>
          <t>subscription_included</t>
        </is>
      </c>
      <c r="L62" s="13" t="inlineStr">
        <is>
          <t>No</t>
        </is>
      </c>
      <c r="M62" s="13" t="n">
        <v>7.8</v>
      </c>
      <c r="N62" s="13" t="n">
        <v>7.4</v>
      </c>
      <c r="O62" s="13" t="n">
        <v>7.2</v>
      </c>
      <c r="P62" s="13" t="n">
        <v>7.4</v>
      </c>
      <c r="Q62" s="13">
        <f>IFERROR(ROUND(AVERAGE(M62:P62),1),"")</f>
        <v/>
      </c>
      <c r="R62" s="13" t="n">
        <v>7.4</v>
      </c>
      <c r="S62" s="13" t="n">
        <v>6.8</v>
      </c>
      <c r="T62" s="13" t="n">
        <v>7</v>
      </c>
      <c r="U62" s="13" t="n">
        <v>7.4</v>
      </c>
      <c r="V62" s="13">
        <f>IFERROR(ROUND(AVERAGE(R62:U62),1),"")</f>
        <v/>
      </c>
      <c r="W62" s="13" t="n">
        <v>7.6</v>
      </c>
      <c r="X62" s="13" t="n">
        <v>7.2</v>
      </c>
      <c r="Y62" s="13" t="n">
        <v>6.8</v>
      </c>
      <c r="Z62" s="13" t="n">
        <v>7.6</v>
      </c>
      <c r="AA62" s="13">
        <f>IFERROR(ROUND(AVERAGE(W62:Z62),1),"")</f>
        <v/>
      </c>
      <c r="AB62" s="13" t="n">
        <v>7.2</v>
      </c>
      <c r="AC62" s="13" t="n">
        <v>7.2</v>
      </c>
      <c r="AD62" s="13" t="n">
        <v>7.2</v>
      </c>
      <c r="AE62" s="13" t="n">
        <v>7</v>
      </c>
      <c r="AF62" s="13">
        <f>IFERROR(ROUND(AVERAGE(AB62:AE62),1),"")</f>
        <v/>
      </c>
      <c r="AG62" s="13" t="n">
        <v>7</v>
      </c>
      <c r="AH62" s="13" t="n">
        <v>6.4</v>
      </c>
      <c r="AI62" s="13" t="n">
        <v>7.4</v>
      </c>
      <c r="AJ62" s="13" t="n">
        <v>7.2</v>
      </c>
      <c r="AK62" s="13">
        <f>IFERROR(ROUND(AVERAGE(AG62:AJ62),1),"")</f>
        <v/>
      </c>
      <c r="AL62" s="13" t="inlineStr"/>
      <c r="AM62" s="13" t="inlineStr"/>
      <c r="AN62" s="13" t="inlineStr"/>
      <c r="AO62" s="13">
        <f>IFERROR(ROUND(AVERAGE(AL62:AN62),1),"")</f>
        <v/>
      </c>
      <c r="AP62" s="13" t="n">
        <v>8</v>
      </c>
      <c r="AQ62" s="13" t="n">
        <v>8</v>
      </c>
      <c r="AR62" s="13" t="n">
        <v>7</v>
      </c>
      <c r="AS62" s="13" t="n">
        <v>8.5</v>
      </c>
      <c r="AT62" s="13">
        <f>IFERROR(ROUND(AVERAGE(AP62:AS62),1),"")</f>
        <v/>
      </c>
      <c r="AU62" s="13" t="n">
        <v>7.2</v>
      </c>
      <c r="AV62" s="13" t="n">
        <v>7.4</v>
      </c>
      <c r="AW62" s="13" t="n">
        <v>7.4</v>
      </c>
      <c r="AX62" s="13" t="n">
        <v>7.2</v>
      </c>
      <c r="AY62" s="13">
        <f>IFERROR(ROUND(AVERAGE(AU62:AX62),1),"")</f>
        <v/>
      </c>
      <c r="AZ62" s="13">
        <f>ROUND(0.19*N(Q62)+0.17*N(V62)+0.17*N(AA62)+0.1*N(AF62)+0.09*N(AK62)+0.12*N(AT62)+0.16*N(AY62),1)</f>
        <v/>
      </c>
      <c r="BA62" s="13" t="inlineStr">
        <is>
          <t>128K</t>
        </is>
      </c>
      <c r="BB62" s="13" t="n">
        <v>32000</v>
      </c>
      <c r="BC62" s="13" t="inlineStr"/>
      <c r="BD62" s="13" t="inlineStr"/>
      <c r="BE62" s="13" t="inlineStr">
        <is>
          <t>high</t>
        </is>
      </c>
      <c r="BF62" s="13" t="n">
        <v>4</v>
      </c>
      <c r="BG62" s="13" t="n">
        <v>4</v>
      </c>
      <c r="BH62" s="13" t="inlineStr">
        <is>
          <t>Best open-weight on H100; self-host</t>
        </is>
      </c>
      <c r="BI62" s="13" t="inlineStr">
        <is>
          <t>Local on this Dell (needs H100)</t>
        </is>
      </c>
      <c r="BJ62" s="15" t="inlineStr">
        <is>
          <t>M</t>
        </is>
      </c>
      <c r="BK62" s="13" t="inlineStr">
        <is>
          <t>Open-weight; via Groq/Together/Antigravity; family-inherited estimate (scaled from flagship); verify before HIGH-stakes routing</t>
        </is>
      </c>
      <c r="BL62" s="13" t="inlineStr">
        <is>
          <t>2026-06-07</t>
        </is>
      </c>
    </row>
    <row r="63">
      <c r="A63" s="13" t="inlineStr">
        <is>
          <t>gpt-oss-120b</t>
        </is>
      </c>
      <c r="B63" s="13" t="inlineStr">
        <is>
          <t>GPT-OSS-120B</t>
        </is>
      </c>
      <c r="C63" s="13" t="inlineStr">
        <is>
          <t>OpenAI</t>
        </is>
      </c>
      <c r="D63" s="13" t="inlineStr">
        <is>
          <t>GPT-OSS (open weight)</t>
        </is>
      </c>
      <c r="E63" s="13" t="inlineStr">
        <is>
          <t>120b</t>
        </is>
      </c>
      <c r="F63" s="13" t="inlineStr">
        <is>
          <t>Current</t>
        </is>
      </c>
      <c r="G63" s="13" t="inlineStr">
        <is>
          <t>Open-Weight Flagship</t>
        </is>
      </c>
      <c r="H63" s="13" t="inlineStr">
        <is>
          <t>GitHub Models (AI Toolkit)</t>
        </is>
      </c>
      <c r="I63" s="13" t="inlineStr">
        <is>
          <t>Aggregator</t>
        </is>
      </c>
      <c r="J63" s="13" t="inlineStr">
        <is>
          <t>Configured</t>
        </is>
      </c>
      <c r="K63" s="13" t="inlineStr">
        <is>
          <t>subscription_included</t>
        </is>
      </c>
      <c r="L63" s="13" t="inlineStr">
        <is>
          <t>No</t>
        </is>
      </c>
      <c r="M63" s="13" t="n">
        <v>7.8</v>
      </c>
      <c r="N63" s="13" t="n">
        <v>7.4</v>
      </c>
      <c r="O63" s="13" t="n">
        <v>7.2</v>
      </c>
      <c r="P63" s="13" t="n">
        <v>7.4</v>
      </c>
      <c r="Q63" s="13">
        <f>IFERROR(ROUND(AVERAGE(M63:P63),1),"")</f>
        <v/>
      </c>
      <c r="R63" s="13" t="n">
        <v>7.4</v>
      </c>
      <c r="S63" s="13" t="n">
        <v>6.8</v>
      </c>
      <c r="T63" s="13" t="n">
        <v>7</v>
      </c>
      <c r="U63" s="13" t="n">
        <v>7.4</v>
      </c>
      <c r="V63" s="13">
        <f>IFERROR(ROUND(AVERAGE(R63:U63),1),"")</f>
        <v/>
      </c>
      <c r="W63" s="13" t="n">
        <v>7.6</v>
      </c>
      <c r="X63" s="13" t="n">
        <v>7.2</v>
      </c>
      <c r="Y63" s="13" t="n">
        <v>6.8</v>
      </c>
      <c r="Z63" s="13" t="n">
        <v>7.6</v>
      </c>
      <c r="AA63" s="13">
        <f>IFERROR(ROUND(AVERAGE(W63:Z63),1),"")</f>
        <v/>
      </c>
      <c r="AB63" s="13" t="n">
        <v>7.2</v>
      </c>
      <c r="AC63" s="13" t="n">
        <v>7.2</v>
      </c>
      <c r="AD63" s="13" t="n">
        <v>7.2</v>
      </c>
      <c r="AE63" s="13" t="n">
        <v>7</v>
      </c>
      <c r="AF63" s="13">
        <f>IFERROR(ROUND(AVERAGE(AB63:AE63),1),"")</f>
        <v/>
      </c>
      <c r="AG63" s="13" t="n">
        <v>7</v>
      </c>
      <c r="AH63" s="13" t="n">
        <v>6.4</v>
      </c>
      <c r="AI63" s="13" t="n">
        <v>7.4</v>
      </c>
      <c r="AJ63" s="13" t="n">
        <v>7.2</v>
      </c>
      <c r="AK63" s="13">
        <f>IFERROR(ROUND(AVERAGE(AG63:AJ63),1),"")</f>
        <v/>
      </c>
      <c r="AL63" s="13" t="inlineStr"/>
      <c r="AM63" s="13" t="inlineStr"/>
      <c r="AN63" s="13" t="inlineStr"/>
      <c r="AO63" s="13">
        <f>IFERROR(ROUND(AVERAGE(AL63:AN63),1),"")</f>
        <v/>
      </c>
      <c r="AP63" s="13" t="n">
        <v>8</v>
      </c>
      <c r="AQ63" s="13" t="n">
        <v>8</v>
      </c>
      <c r="AR63" s="13" t="n">
        <v>7</v>
      </c>
      <c r="AS63" s="13" t="n">
        <v>8.5</v>
      </c>
      <c r="AT63" s="13">
        <f>IFERROR(ROUND(AVERAGE(AP63:AS63),1),"")</f>
        <v/>
      </c>
      <c r="AU63" s="13" t="n">
        <v>7.2</v>
      </c>
      <c r="AV63" s="13" t="n">
        <v>7.4</v>
      </c>
      <c r="AW63" s="13" t="n">
        <v>7.4</v>
      </c>
      <c r="AX63" s="13" t="n">
        <v>7.2</v>
      </c>
      <c r="AY63" s="13">
        <f>IFERROR(ROUND(AVERAGE(AU63:AX63),1),"")</f>
        <v/>
      </c>
      <c r="AZ63" s="13">
        <f>ROUND(0.19*N(Q63)+0.17*N(V63)+0.17*N(AA63)+0.1*N(AF63)+0.09*N(AK63)+0.12*N(AT63)+0.16*N(AY63),1)</f>
        <v/>
      </c>
      <c r="BA63" s="13" t="inlineStr">
        <is>
          <t>128K</t>
        </is>
      </c>
      <c r="BB63" s="13" t="n">
        <v>32000</v>
      </c>
      <c r="BC63" s="13" t="inlineStr"/>
      <c r="BD63" s="13" t="inlineStr"/>
      <c r="BE63" s="13" t="inlineStr">
        <is>
          <t>high</t>
        </is>
      </c>
      <c r="BF63" s="13" t="n">
        <v>4</v>
      </c>
      <c r="BG63" s="13" t="n">
        <v>4</v>
      </c>
      <c r="BH63" s="13" t="inlineStr">
        <is>
          <t>Best open-weight on H100; self-host</t>
        </is>
      </c>
      <c r="BI63" s="13" t="inlineStr">
        <is>
          <t>Local on this Dell (needs H100)</t>
        </is>
      </c>
      <c r="BJ63" s="15" t="inlineStr">
        <is>
          <t>M</t>
        </is>
      </c>
      <c r="BK63" s="13" t="inlineStr">
        <is>
          <t>Open-weight; via Groq/Together/Antigravity; family-inherited estimate (scaled from flagship); verify before HIGH-stakes routing</t>
        </is>
      </c>
      <c r="BL63" s="13" t="inlineStr">
        <is>
          <t>2026-06-07</t>
        </is>
      </c>
    </row>
    <row r="64">
      <c r="A64" s="13" t="inlineStr">
        <is>
          <t>gpt-oss-20b</t>
        </is>
      </c>
      <c r="B64" s="13" t="inlineStr">
        <is>
          <t>GPT-OSS-20B</t>
        </is>
      </c>
      <c r="C64" s="13" t="inlineStr">
        <is>
          <t>OpenAI</t>
        </is>
      </c>
      <c r="D64" s="13" t="inlineStr">
        <is>
          <t>GPT-OSS (open weight)</t>
        </is>
      </c>
      <c r="E64" s="13" t="inlineStr">
        <is>
          <t>20b</t>
        </is>
      </c>
      <c r="F64" s="13" t="inlineStr">
        <is>
          <t>Current</t>
        </is>
      </c>
      <c r="G64" s="13" t="inlineStr">
        <is>
          <t>Open-Weight / Local</t>
        </is>
      </c>
      <c r="H64" s="13" t="inlineStr">
        <is>
          <t>Ollama (local)</t>
        </is>
      </c>
      <c r="I64" s="13" t="inlineStr">
        <is>
          <t>Local</t>
        </is>
      </c>
      <c r="J64" s="13" t="inlineStr">
        <is>
          <t>Running (free)</t>
        </is>
      </c>
      <c r="K64" s="13" t="inlineStr">
        <is>
          <t>local_free</t>
        </is>
      </c>
      <c r="L64" s="13" t="inlineStr">
        <is>
          <t>Yes</t>
        </is>
      </c>
      <c r="M64" s="13" t="n">
        <v>6.8</v>
      </c>
      <c r="N64" s="13" t="n">
        <v>6.2</v>
      </c>
      <c r="O64" s="13" t="n">
        <v>6</v>
      </c>
      <c r="P64" s="13" t="n">
        <v>6.4</v>
      </c>
      <c r="Q64" s="13">
        <f>IFERROR(ROUND(AVERAGE(M64:P64),1),"")</f>
        <v/>
      </c>
      <c r="R64" s="13" t="n">
        <v>6.4</v>
      </c>
      <c r="S64" s="13" t="n">
        <v>5.8</v>
      </c>
      <c r="T64" s="13" t="n">
        <v>6</v>
      </c>
      <c r="U64" s="13" t="n">
        <v>6.4</v>
      </c>
      <c r="V64" s="13">
        <f>IFERROR(ROUND(AVERAGE(R64:U64),1),"")</f>
        <v/>
      </c>
      <c r="W64" s="13" t="n">
        <v>6.6</v>
      </c>
      <c r="X64" s="13" t="n">
        <v>6.2</v>
      </c>
      <c r="Y64" s="13" t="n">
        <v>5.6</v>
      </c>
      <c r="Z64" s="13" t="n">
        <v>6.6</v>
      </c>
      <c r="AA64" s="13">
        <f>IFERROR(ROUND(AVERAGE(W64:Z64),1),"")</f>
        <v/>
      </c>
      <c r="AB64" s="13" t="n">
        <v>6.4</v>
      </c>
      <c r="AC64" s="13" t="n">
        <v>6.4</v>
      </c>
      <c r="AD64" s="13" t="n">
        <v>6.4</v>
      </c>
      <c r="AE64" s="13" t="n">
        <v>6.2</v>
      </c>
      <c r="AF64" s="13">
        <f>IFERROR(ROUND(AVERAGE(AB64:AE64),1),"")</f>
        <v/>
      </c>
      <c r="AG64" s="13" t="n">
        <v>6</v>
      </c>
      <c r="AH64" s="13" t="n">
        <v>5.4</v>
      </c>
      <c r="AI64" s="13" t="n">
        <v>6.4</v>
      </c>
      <c r="AJ64" s="13" t="n">
        <v>6.2</v>
      </c>
      <c r="AK64" s="13">
        <f>IFERROR(ROUND(AVERAGE(AG64:AJ64),1),"")</f>
        <v/>
      </c>
      <c r="AL64" s="13" t="inlineStr"/>
      <c r="AM64" s="13" t="inlineStr"/>
      <c r="AN64" s="13" t="inlineStr"/>
      <c r="AO64" s="13">
        <f>IFERROR(ROUND(AVERAGE(AL64:AN64),1),"")</f>
        <v/>
      </c>
      <c r="AP64" s="13" t="n">
        <v>7</v>
      </c>
      <c r="AQ64" s="13" t="n">
        <v>6.5</v>
      </c>
      <c r="AR64" s="13" t="n">
        <v>7</v>
      </c>
      <c r="AS64" s="13" t="n">
        <v>9.5</v>
      </c>
      <c r="AT64" s="13">
        <f>IFERROR(ROUND(AVERAGE(AP64:AS64),1),"")</f>
        <v/>
      </c>
      <c r="AU64" s="13" t="n">
        <v>6.6</v>
      </c>
      <c r="AV64" s="13" t="n">
        <v>6.8</v>
      </c>
      <c r="AW64" s="13" t="n">
        <v>7</v>
      </c>
      <c r="AX64" s="13" t="n">
        <v>6.6</v>
      </c>
      <c r="AY64" s="13">
        <f>IFERROR(ROUND(AVERAGE(AU64:AX64),1),"")</f>
        <v/>
      </c>
      <c r="AZ64" s="13">
        <f>ROUND(0.19*N(Q64)+0.17*N(V64)+0.17*N(AA64)+0.1*N(AF64)+0.09*N(AK64)+0.12*N(AT64)+0.16*N(AY64),1)</f>
        <v/>
      </c>
      <c r="BA64" s="13" t="inlineStr">
        <is>
          <t>128K</t>
        </is>
      </c>
      <c r="BB64" s="13" t="n">
        <v>32000</v>
      </c>
      <c r="BC64" s="13" t="inlineStr"/>
      <c r="BD64" s="13" t="inlineStr"/>
      <c r="BE64" s="13" t="inlineStr">
        <is>
          <t>medium</t>
        </is>
      </c>
      <c r="BF64" s="13" t="n">
        <v>3</v>
      </c>
      <c r="BG64" s="13" t="n">
        <v>3</v>
      </c>
      <c r="BH64" s="13" t="inlineStr">
        <is>
          <t>Low-latency open-weight; runs locally (slow) on Dell</t>
        </is>
      </c>
      <c r="BI64" s="13" t="inlineStr">
        <is>
          <t>Hard reasoning</t>
        </is>
      </c>
      <c r="BJ64" s="15" t="inlineStr">
        <is>
          <t>M</t>
        </is>
      </c>
      <c r="BK64" s="13" t="inlineStr">
        <is>
          <t>Local Ollama gpt-oss:20b verified on Dell; family-inherited estimate (scaled from flagship); verify before HIGH-stakes routing</t>
        </is>
      </c>
      <c r="BL64" s="13" t="inlineStr">
        <is>
          <t>2026-06-07</t>
        </is>
      </c>
    </row>
    <row r="65">
      <c r="A65" s="13" t="inlineStr">
        <is>
          <t>gpt-oss-20b</t>
        </is>
      </c>
      <c r="B65" s="13" t="inlineStr">
        <is>
          <t>GPT-OSS-20B</t>
        </is>
      </c>
      <c r="C65" s="13" t="inlineStr">
        <is>
          <t>OpenAI</t>
        </is>
      </c>
      <c r="D65" s="13" t="inlineStr">
        <is>
          <t>GPT-OSS (open weight)</t>
        </is>
      </c>
      <c r="E65" s="13" t="inlineStr">
        <is>
          <t>20b</t>
        </is>
      </c>
      <c r="F65" s="13" t="inlineStr">
        <is>
          <t>Current</t>
        </is>
      </c>
      <c r="G65" s="13" t="inlineStr">
        <is>
          <t>Open-Weight / Local</t>
        </is>
      </c>
      <c r="H65" s="13" t="inlineStr">
        <is>
          <t>Groq</t>
        </is>
      </c>
      <c r="I65" s="13" t="inlineStr">
        <is>
          <t>Aggregator</t>
        </is>
      </c>
      <c r="J65" s="13" t="inlineStr">
        <is>
          <t>Not-keyed</t>
        </is>
      </c>
      <c r="K65" s="13" t="inlineStr">
        <is>
          <t>metered (not configured)</t>
        </is>
      </c>
      <c r="L65" s="13" t="inlineStr">
        <is>
          <t>No</t>
        </is>
      </c>
      <c r="M65" s="13" t="n">
        <v>6.8</v>
      </c>
      <c r="N65" s="13" t="n">
        <v>6.2</v>
      </c>
      <c r="O65" s="13" t="n">
        <v>6</v>
      </c>
      <c r="P65" s="13" t="n">
        <v>6.4</v>
      </c>
      <c r="Q65" s="13">
        <f>IFERROR(ROUND(AVERAGE(M65:P65),1),"")</f>
        <v/>
      </c>
      <c r="R65" s="13" t="n">
        <v>6.4</v>
      </c>
      <c r="S65" s="13" t="n">
        <v>5.8</v>
      </c>
      <c r="T65" s="13" t="n">
        <v>6</v>
      </c>
      <c r="U65" s="13" t="n">
        <v>6.4</v>
      </c>
      <c r="V65" s="13">
        <f>IFERROR(ROUND(AVERAGE(R65:U65),1),"")</f>
        <v/>
      </c>
      <c r="W65" s="13" t="n">
        <v>6.6</v>
      </c>
      <c r="X65" s="13" t="n">
        <v>6.2</v>
      </c>
      <c r="Y65" s="13" t="n">
        <v>5.6</v>
      </c>
      <c r="Z65" s="13" t="n">
        <v>6.6</v>
      </c>
      <c r="AA65" s="13">
        <f>IFERROR(ROUND(AVERAGE(W65:Z65),1),"")</f>
        <v/>
      </c>
      <c r="AB65" s="13" t="n">
        <v>6.4</v>
      </c>
      <c r="AC65" s="13" t="n">
        <v>6.4</v>
      </c>
      <c r="AD65" s="13" t="n">
        <v>6.4</v>
      </c>
      <c r="AE65" s="13" t="n">
        <v>6.2</v>
      </c>
      <c r="AF65" s="13">
        <f>IFERROR(ROUND(AVERAGE(AB65:AE65),1),"")</f>
        <v/>
      </c>
      <c r="AG65" s="13" t="n">
        <v>6</v>
      </c>
      <c r="AH65" s="13" t="n">
        <v>5.4</v>
      </c>
      <c r="AI65" s="13" t="n">
        <v>6.4</v>
      </c>
      <c r="AJ65" s="13" t="n">
        <v>6.2</v>
      </c>
      <c r="AK65" s="13">
        <f>IFERROR(ROUND(AVERAGE(AG65:AJ65),1),"")</f>
        <v/>
      </c>
      <c r="AL65" s="13" t="inlineStr"/>
      <c r="AM65" s="13" t="inlineStr"/>
      <c r="AN65" s="13" t="inlineStr"/>
      <c r="AO65" s="13">
        <f>IFERROR(ROUND(AVERAGE(AL65:AN65),1),"")</f>
        <v/>
      </c>
      <c r="AP65" s="13" t="n">
        <v>7</v>
      </c>
      <c r="AQ65" s="13" t="n">
        <v>6.5</v>
      </c>
      <c r="AR65" s="13" t="n">
        <v>7</v>
      </c>
      <c r="AS65" s="13" t="n">
        <v>9.5</v>
      </c>
      <c r="AT65" s="13">
        <f>IFERROR(ROUND(AVERAGE(AP65:AS65),1),"")</f>
        <v/>
      </c>
      <c r="AU65" s="13" t="n">
        <v>6.6</v>
      </c>
      <c r="AV65" s="13" t="n">
        <v>6.8</v>
      </c>
      <c r="AW65" s="13" t="n">
        <v>7</v>
      </c>
      <c r="AX65" s="13" t="n">
        <v>6.6</v>
      </c>
      <c r="AY65" s="13">
        <f>IFERROR(ROUND(AVERAGE(AU65:AX65),1),"")</f>
        <v/>
      </c>
      <c r="AZ65" s="13">
        <f>ROUND(0.19*N(Q65)+0.17*N(V65)+0.17*N(AA65)+0.1*N(AF65)+0.09*N(AK65)+0.12*N(AT65)+0.16*N(AY65),1)</f>
        <v/>
      </c>
      <c r="BA65" s="13" t="inlineStr">
        <is>
          <t>128K</t>
        </is>
      </c>
      <c r="BB65" s="13" t="n">
        <v>32000</v>
      </c>
      <c r="BC65" s="13" t="inlineStr"/>
      <c r="BD65" s="13" t="inlineStr"/>
      <c r="BE65" s="13" t="inlineStr">
        <is>
          <t>medium</t>
        </is>
      </c>
      <c r="BF65" s="13" t="n">
        <v>3</v>
      </c>
      <c r="BG65" s="13" t="n">
        <v>3</v>
      </c>
      <c r="BH65" s="13" t="inlineStr">
        <is>
          <t>Low-latency open-weight; runs locally (slow) on Dell</t>
        </is>
      </c>
      <c r="BI65" s="13" t="inlineStr">
        <is>
          <t>Hard reasoning</t>
        </is>
      </c>
      <c r="BJ65" s="15" t="inlineStr">
        <is>
          <t>M</t>
        </is>
      </c>
      <c r="BK65" s="13" t="inlineStr">
        <is>
          <t>Local Ollama gpt-oss:20b verified on Dell; family-inherited estimate (scaled from flagship); verify before HIGH-stakes routing</t>
        </is>
      </c>
      <c r="BL65" s="13" t="inlineStr">
        <is>
          <t>2026-06-07</t>
        </is>
      </c>
    </row>
    <row r="66">
      <c r="A66" s="13" t="inlineStr">
        <is>
          <t>gemini-3.1-pro</t>
        </is>
      </c>
      <c r="B66" s="13" t="inlineStr">
        <is>
          <t>Gemini 3.1 Pro</t>
        </is>
      </c>
      <c r="C66" s="13" t="inlineStr">
        <is>
          <t>Google</t>
        </is>
      </c>
      <c r="D66" s="13" t="inlineStr">
        <is>
          <t>Gemini 3.x</t>
        </is>
      </c>
      <c r="E66" s="13" t="inlineStr">
        <is>
          <t>3.1-pro</t>
        </is>
      </c>
      <c r="F66" s="13" t="inlineStr">
        <is>
          <t>Current</t>
        </is>
      </c>
      <c r="G66" s="13" t="inlineStr">
        <is>
          <t>Flagship Reasoner</t>
        </is>
      </c>
      <c r="H66" s="13" t="inlineStr">
        <is>
          <t>Google Gemini API</t>
        </is>
      </c>
      <c r="I66" s="13" t="inlineStr">
        <is>
          <t>HTTP API</t>
        </is>
      </c>
      <c r="J66" s="13" t="inlineStr">
        <is>
          <t>Working (re-authed)</t>
        </is>
      </c>
      <c r="K66" s="13" t="inlineStr">
        <is>
          <t>subscription_included</t>
        </is>
      </c>
      <c r="L66" s="13" t="inlineStr">
        <is>
          <t>No</t>
        </is>
      </c>
      <c r="M66" s="13" t="n">
        <v>9.4</v>
      </c>
      <c r="N66" s="13" t="n">
        <v>9.199999999999999</v>
      </c>
      <c r="O66" s="13" t="n">
        <v>9.300000000000001</v>
      </c>
      <c r="P66" s="13" t="n">
        <v>9</v>
      </c>
      <c r="Q66" s="13">
        <f>IFERROR(ROUND(AVERAGE(M66:P66),1),"")</f>
        <v/>
      </c>
      <c r="R66" s="13" t="n">
        <v>8.6</v>
      </c>
      <c r="S66" s="13" t="n">
        <v>8.1</v>
      </c>
      <c r="T66" s="13" t="n">
        <v>8.4</v>
      </c>
      <c r="U66" s="13" t="n">
        <v>8.6</v>
      </c>
      <c r="V66" s="13">
        <f>IFERROR(ROUND(AVERAGE(R66:U66),1),"")</f>
        <v/>
      </c>
      <c r="W66" s="13" t="n">
        <v>8.800000000000001</v>
      </c>
      <c r="X66" s="13" t="n">
        <v>8.800000000000001</v>
      </c>
      <c r="Y66" s="13" t="n">
        <v>8.6</v>
      </c>
      <c r="Z66" s="13" t="n">
        <v>8.800000000000001</v>
      </c>
      <c r="AA66" s="13">
        <f>IFERROR(ROUND(AVERAGE(W66:Z66),1),"")</f>
        <v/>
      </c>
      <c r="AB66" s="13" t="n">
        <v>9</v>
      </c>
      <c r="AC66" s="13" t="n">
        <v>9</v>
      </c>
      <c r="AD66" s="13" t="n">
        <v>9</v>
      </c>
      <c r="AE66" s="13" t="n">
        <v>9</v>
      </c>
      <c r="AF66" s="13">
        <f>IFERROR(ROUND(AVERAGE(AB66:AE66),1),"")</f>
        <v/>
      </c>
      <c r="AG66" s="13" t="n">
        <v>8.6</v>
      </c>
      <c r="AH66" s="13" t="n">
        <v>7.8</v>
      </c>
      <c r="AI66" s="13" t="n">
        <v>8.6</v>
      </c>
      <c r="AJ66" s="13" t="n">
        <v>8.800000000000001</v>
      </c>
      <c r="AK66" s="13">
        <f>IFERROR(ROUND(AVERAGE(AG66:AJ66),1),"")</f>
        <v/>
      </c>
      <c r="AL66" s="13" t="n">
        <v>8.800000000000001</v>
      </c>
      <c r="AM66" s="13" t="n">
        <v>9</v>
      </c>
      <c r="AN66" s="13" t="n">
        <v>8</v>
      </c>
      <c r="AO66" s="13">
        <f>IFERROR(ROUND(AVERAGE(AL66:AN66),1),"")</f>
        <v/>
      </c>
      <c r="AP66" s="13" t="n">
        <v>6.5</v>
      </c>
      <c r="AQ66" s="13" t="n">
        <v>6.5</v>
      </c>
      <c r="AR66" s="13" t="n">
        <v>10</v>
      </c>
      <c r="AS66" s="13" t="n">
        <v>7.5</v>
      </c>
      <c r="AT66" s="13">
        <f>IFERROR(ROUND(AVERAGE(AP66:AS66),1),"")</f>
        <v/>
      </c>
      <c r="AU66" s="13" t="n">
        <v>8.5</v>
      </c>
      <c r="AV66" s="13" t="n">
        <v>8.6</v>
      </c>
      <c r="AW66" s="13" t="n">
        <v>8.6</v>
      </c>
      <c r="AX66" s="13" t="n">
        <v>8.5</v>
      </c>
      <c r="AY66" s="13">
        <f>IFERROR(ROUND(AVERAGE(AU66:AX66),1),"")</f>
        <v/>
      </c>
      <c r="AZ66" s="13">
        <f>ROUND(0.19*N(Q66)+0.17*N(V66)+0.17*N(AA66)+0.1*N(AF66)+0.09*N(AK66)+0.12*N(AT66)+0.16*N(AY66),1)</f>
        <v/>
      </c>
      <c r="BA66" s="13" t="inlineStr">
        <is>
          <t>1M</t>
        </is>
      </c>
      <c r="BB66" s="13" t="n">
        <v>64000</v>
      </c>
      <c r="BC66" s="13" t="n">
        <v>2</v>
      </c>
      <c r="BD66" s="13" t="n">
        <v>12</v>
      </c>
      <c r="BE66" s="13" t="inlineStr">
        <is>
          <t>critical</t>
        </is>
      </c>
      <c r="BF66" s="13" t="n">
        <v>5</v>
      </c>
      <c r="BG66" s="13" t="n">
        <v>5</v>
      </c>
      <c r="BH66" s="13" t="inlineStr">
        <is>
          <t>Top reasoning (GPQA #1), long-context multimodal, research</t>
        </is>
      </c>
      <c r="BI66" s="13" t="inlineStr"/>
      <c r="BJ66" s="14" t="inlineStr">
        <is>
          <t>H</t>
        </is>
      </c>
      <c r="BK66" s="13" t="inlineStr">
        <is>
          <t>GPQA 94.1% (#1); ARC-AGI-2 77.1%; HLE 37.5%; MMMU-Pro 83.9%; benchmark-anchored (AA Index, SWE-bench, GPQA, ARC-AGI-2, Aider, MMMU 2026-06)</t>
        </is>
      </c>
      <c r="BL66" s="13" t="inlineStr">
        <is>
          <t>2026-06-07</t>
        </is>
      </c>
    </row>
    <row r="67">
      <c r="A67" s="13" t="inlineStr">
        <is>
          <t>gemini-3.1-pro</t>
        </is>
      </c>
      <c r="B67" s="13" t="inlineStr">
        <is>
          <t>Gemini 3.1 Pro</t>
        </is>
      </c>
      <c r="C67" s="13" t="inlineStr">
        <is>
          <t>Google</t>
        </is>
      </c>
      <c r="D67" s="13" t="inlineStr">
        <is>
          <t>Gemini 3.x</t>
        </is>
      </c>
      <c r="E67" s="13" t="inlineStr">
        <is>
          <t>3.1-pro</t>
        </is>
      </c>
      <c r="F67" s="13" t="inlineStr">
        <is>
          <t>Current</t>
        </is>
      </c>
      <c r="G67" s="13" t="inlineStr">
        <is>
          <t>Flagship Reasoner</t>
        </is>
      </c>
      <c r="H67" s="13" t="inlineStr">
        <is>
          <t>Gemini CLI</t>
        </is>
      </c>
      <c r="I67" s="13" t="inlineStr">
        <is>
          <t>CLI</t>
        </is>
      </c>
      <c r="J67" s="13" t="inlineStr">
        <is>
          <t>Working (re-authed)</t>
        </is>
      </c>
      <c r="K67" s="13" t="inlineStr">
        <is>
          <t>subscription_included</t>
        </is>
      </c>
      <c r="L67" s="13" t="inlineStr">
        <is>
          <t>No</t>
        </is>
      </c>
      <c r="M67" s="13" t="n">
        <v>9.4</v>
      </c>
      <c r="N67" s="13" t="n">
        <v>9.199999999999999</v>
      </c>
      <c r="O67" s="13" t="n">
        <v>9.300000000000001</v>
      </c>
      <c r="P67" s="13" t="n">
        <v>9</v>
      </c>
      <c r="Q67" s="13">
        <f>IFERROR(ROUND(AVERAGE(M67:P67),1),"")</f>
        <v/>
      </c>
      <c r="R67" s="13" t="n">
        <v>8.6</v>
      </c>
      <c r="S67" s="13" t="n">
        <v>8.1</v>
      </c>
      <c r="T67" s="13" t="n">
        <v>8.4</v>
      </c>
      <c r="U67" s="13" t="n">
        <v>8.6</v>
      </c>
      <c r="V67" s="13">
        <f>IFERROR(ROUND(AVERAGE(R67:U67),1),"")</f>
        <v/>
      </c>
      <c r="W67" s="13" t="n">
        <v>8.800000000000001</v>
      </c>
      <c r="X67" s="13" t="n">
        <v>8.800000000000001</v>
      </c>
      <c r="Y67" s="13" t="n">
        <v>8.6</v>
      </c>
      <c r="Z67" s="13" t="n">
        <v>8.800000000000001</v>
      </c>
      <c r="AA67" s="13">
        <f>IFERROR(ROUND(AVERAGE(W67:Z67),1),"")</f>
        <v/>
      </c>
      <c r="AB67" s="13" t="n">
        <v>9</v>
      </c>
      <c r="AC67" s="13" t="n">
        <v>9</v>
      </c>
      <c r="AD67" s="13" t="n">
        <v>9</v>
      </c>
      <c r="AE67" s="13" t="n">
        <v>9</v>
      </c>
      <c r="AF67" s="13">
        <f>IFERROR(ROUND(AVERAGE(AB67:AE67),1),"")</f>
        <v/>
      </c>
      <c r="AG67" s="13" t="n">
        <v>8.6</v>
      </c>
      <c r="AH67" s="13" t="n">
        <v>7.8</v>
      </c>
      <c r="AI67" s="13" t="n">
        <v>8.6</v>
      </c>
      <c r="AJ67" s="13" t="n">
        <v>8.800000000000001</v>
      </c>
      <c r="AK67" s="13">
        <f>IFERROR(ROUND(AVERAGE(AG67:AJ67),1),"")</f>
        <v/>
      </c>
      <c r="AL67" s="13" t="n">
        <v>8.800000000000001</v>
      </c>
      <c r="AM67" s="13" t="n">
        <v>9</v>
      </c>
      <c r="AN67" s="13" t="n">
        <v>8</v>
      </c>
      <c r="AO67" s="13">
        <f>IFERROR(ROUND(AVERAGE(AL67:AN67),1),"")</f>
        <v/>
      </c>
      <c r="AP67" s="13" t="n">
        <v>6.5</v>
      </c>
      <c r="AQ67" s="13" t="n">
        <v>6.5</v>
      </c>
      <c r="AR67" s="13" t="n">
        <v>10</v>
      </c>
      <c r="AS67" s="13" t="n">
        <v>7.5</v>
      </c>
      <c r="AT67" s="13">
        <f>IFERROR(ROUND(AVERAGE(AP67:AS67),1),"")</f>
        <v/>
      </c>
      <c r="AU67" s="13" t="n">
        <v>8.5</v>
      </c>
      <c r="AV67" s="13" t="n">
        <v>8.6</v>
      </c>
      <c r="AW67" s="13" t="n">
        <v>8.6</v>
      </c>
      <c r="AX67" s="13" t="n">
        <v>8.5</v>
      </c>
      <c r="AY67" s="13">
        <f>IFERROR(ROUND(AVERAGE(AU67:AX67),1),"")</f>
        <v/>
      </c>
      <c r="AZ67" s="13">
        <f>ROUND(0.19*N(Q67)+0.17*N(V67)+0.17*N(AA67)+0.1*N(AF67)+0.09*N(AK67)+0.12*N(AT67)+0.16*N(AY67),1)</f>
        <v/>
      </c>
      <c r="BA67" s="13" t="inlineStr">
        <is>
          <t>1M</t>
        </is>
      </c>
      <c r="BB67" s="13" t="n">
        <v>64000</v>
      </c>
      <c r="BC67" s="13" t="n">
        <v>2</v>
      </c>
      <c r="BD67" s="13" t="n">
        <v>12</v>
      </c>
      <c r="BE67" s="13" t="inlineStr">
        <is>
          <t>critical</t>
        </is>
      </c>
      <c r="BF67" s="13" t="n">
        <v>5</v>
      </c>
      <c r="BG67" s="13" t="n">
        <v>5</v>
      </c>
      <c r="BH67" s="13" t="inlineStr">
        <is>
          <t>Top reasoning (GPQA #1), long-context multimodal, research</t>
        </is>
      </c>
      <c r="BI67" s="13" t="inlineStr"/>
      <c r="BJ67" s="14" t="inlineStr">
        <is>
          <t>H</t>
        </is>
      </c>
      <c r="BK67" s="13" t="inlineStr">
        <is>
          <t>GPQA 94.1% (#1); ARC-AGI-2 77.1%; HLE 37.5%; MMMU-Pro 83.9%; benchmark-anchored (AA Index, SWE-bench, GPQA, ARC-AGI-2, Aider, MMMU 2026-06)</t>
        </is>
      </c>
      <c r="BL67" s="13" t="inlineStr">
        <is>
          <t>2026-06-07</t>
        </is>
      </c>
    </row>
    <row r="68">
      <c r="A68" s="13" t="inlineStr">
        <is>
          <t>gemini-3.1-pro</t>
        </is>
      </c>
      <c r="B68" s="13" t="inlineStr">
        <is>
          <t>Gemini 3.1 Pro</t>
        </is>
      </c>
      <c r="C68" s="13" t="inlineStr">
        <is>
          <t>Google</t>
        </is>
      </c>
      <c r="D68" s="13" t="inlineStr">
        <is>
          <t>Gemini 3.x</t>
        </is>
      </c>
      <c r="E68" s="13" t="inlineStr">
        <is>
          <t>3.1-pro</t>
        </is>
      </c>
      <c r="F68" s="13" t="inlineStr">
        <is>
          <t>Current</t>
        </is>
      </c>
      <c r="G68" s="13" t="inlineStr">
        <is>
          <t>Flagship Reasoner</t>
        </is>
      </c>
      <c r="H68" s="13" t="inlineStr">
        <is>
          <t>Google Antigravity</t>
        </is>
      </c>
      <c r="I68" s="13" t="inlineStr">
        <is>
          <t>IDE app</t>
        </is>
      </c>
      <c r="J68" s="13" t="inlineStr">
        <is>
          <t>Installed</t>
        </is>
      </c>
      <c r="K68" s="13" t="inlineStr">
        <is>
          <t>subscription_included</t>
        </is>
      </c>
      <c r="L68" s="13" t="inlineStr">
        <is>
          <t>No</t>
        </is>
      </c>
      <c r="M68" s="13" t="n">
        <v>9.4</v>
      </c>
      <c r="N68" s="13" t="n">
        <v>9.199999999999999</v>
      </c>
      <c r="O68" s="13" t="n">
        <v>9.300000000000001</v>
      </c>
      <c r="P68" s="13" t="n">
        <v>9</v>
      </c>
      <c r="Q68" s="13">
        <f>IFERROR(ROUND(AVERAGE(M68:P68),1),"")</f>
        <v/>
      </c>
      <c r="R68" s="13" t="n">
        <v>8.6</v>
      </c>
      <c r="S68" s="13" t="n">
        <v>8.1</v>
      </c>
      <c r="T68" s="13" t="n">
        <v>8.4</v>
      </c>
      <c r="U68" s="13" t="n">
        <v>8.6</v>
      </c>
      <c r="V68" s="13">
        <f>IFERROR(ROUND(AVERAGE(R68:U68),1),"")</f>
        <v/>
      </c>
      <c r="W68" s="13" t="n">
        <v>8.800000000000001</v>
      </c>
      <c r="X68" s="13" t="n">
        <v>8.800000000000001</v>
      </c>
      <c r="Y68" s="13" t="n">
        <v>8.6</v>
      </c>
      <c r="Z68" s="13" t="n">
        <v>8.800000000000001</v>
      </c>
      <c r="AA68" s="13">
        <f>IFERROR(ROUND(AVERAGE(W68:Z68),1),"")</f>
        <v/>
      </c>
      <c r="AB68" s="13" t="n">
        <v>9</v>
      </c>
      <c r="AC68" s="13" t="n">
        <v>9</v>
      </c>
      <c r="AD68" s="13" t="n">
        <v>9</v>
      </c>
      <c r="AE68" s="13" t="n">
        <v>9</v>
      </c>
      <c r="AF68" s="13">
        <f>IFERROR(ROUND(AVERAGE(AB68:AE68),1),"")</f>
        <v/>
      </c>
      <c r="AG68" s="13" t="n">
        <v>8.6</v>
      </c>
      <c r="AH68" s="13" t="n">
        <v>7.8</v>
      </c>
      <c r="AI68" s="13" t="n">
        <v>8.6</v>
      </c>
      <c r="AJ68" s="13" t="n">
        <v>8.800000000000001</v>
      </c>
      <c r="AK68" s="13">
        <f>IFERROR(ROUND(AVERAGE(AG68:AJ68),1),"")</f>
        <v/>
      </c>
      <c r="AL68" s="13" t="n">
        <v>8.800000000000001</v>
      </c>
      <c r="AM68" s="13" t="n">
        <v>9</v>
      </c>
      <c r="AN68" s="13" t="n">
        <v>8</v>
      </c>
      <c r="AO68" s="13">
        <f>IFERROR(ROUND(AVERAGE(AL68:AN68),1),"")</f>
        <v/>
      </c>
      <c r="AP68" s="13" t="n">
        <v>6.5</v>
      </c>
      <c r="AQ68" s="13" t="n">
        <v>6.5</v>
      </c>
      <c r="AR68" s="13" t="n">
        <v>10</v>
      </c>
      <c r="AS68" s="13" t="n">
        <v>7.5</v>
      </c>
      <c r="AT68" s="13">
        <f>IFERROR(ROUND(AVERAGE(AP68:AS68),1),"")</f>
        <v/>
      </c>
      <c r="AU68" s="13" t="n">
        <v>8.5</v>
      </c>
      <c r="AV68" s="13" t="n">
        <v>8.6</v>
      </c>
      <c r="AW68" s="13" t="n">
        <v>8.6</v>
      </c>
      <c r="AX68" s="13" t="n">
        <v>8.5</v>
      </c>
      <c r="AY68" s="13">
        <f>IFERROR(ROUND(AVERAGE(AU68:AX68),1),"")</f>
        <v/>
      </c>
      <c r="AZ68" s="13">
        <f>ROUND(0.19*N(Q68)+0.17*N(V68)+0.17*N(AA68)+0.1*N(AF68)+0.09*N(AK68)+0.12*N(AT68)+0.16*N(AY68),1)</f>
        <v/>
      </c>
      <c r="BA68" s="13" t="inlineStr">
        <is>
          <t>1M</t>
        </is>
      </c>
      <c r="BB68" s="13" t="n">
        <v>64000</v>
      </c>
      <c r="BC68" s="13" t="n">
        <v>2</v>
      </c>
      <c r="BD68" s="13" t="n">
        <v>12</v>
      </c>
      <c r="BE68" s="13" t="inlineStr">
        <is>
          <t>critical</t>
        </is>
      </c>
      <c r="BF68" s="13" t="n">
        <v>5</v>
      </c>
      <c r="BG68" s="13" t="n">
        <v>5</v>
      </c>
      <c r="BH68" s="13" t="inlineStr">
        <is>
          <t>Top reasoning (GPQA #1), long-context multimodal, research</t>
        </is>
      </c>
      <c r="BI68" s="13" t="inlineStr"/>
      <c r="BJ68" s="14" t="inlineStr">
        <is>
          <t>H</t>
        </is>
      </c>
      <c r="BK68" s="13" t="inlineStr">
        <is>
          <t>GPQA 94.1% (#1); ARC-AGI-2 77.1%; HLE 37.5%; MMMU-Pro 83.9%; benchmark-anchored (AA Index, SWE-bench, GPQA, ARC-AGI-2, Aider, MMMU 2026-06)</t>
        </is>
      </c>
      <c r="BL68" s="13" t="inlineStr">
        <is>
          <t>2026-06-07</t>
        </is>
      </c>
    </row>
    <row r="69">
      <c r="A69" s="13" t="inlineStr">
        <is>
          <t>gemini-3.1-pro</t>
        </is>
      </c>
      <c r="B69" s="13" t="inlineStr">
        <is>
          <t>Gemini 3.1 Pro</t>
        </is>
      </c>
      <c r="C69" s="13" t="inlineStr">
        <is>
          <t>Google</t>
        </is>
      </c>
      <c r="D69" s="13" t="inlineStr">
        <is>
          <t>Gemini 3.x</t>
        </is>
      </c>
      <c r="E69" s="13" t="inlineStr">
        <is>
          <t>3.1-pro</t>
        </is>
      </c>
      <c r="F69" s="13" t="inlineStr">
        <is>
          <t>Current</t>
        </is>
      </c>
      <c r="G69" s="13" t="inlineStr">
        <is>
          <t>Flagship Reasoner</t>
        </is>
      </c>
      <c r="H69" s="13" t="inlineStr">
        <is>
          <t>Amazon Bedrock (Kiro)</t>
        </is>
      </c>
      <c r="I69" s="13" t="inlineStr">
        <is>
          <t>Aggregator</t>
        </is>
      </c>
      <c r="J69" s="13" t="inlineStr">
        <is>
          <t>Installed; login unverified</t>
        </is>
      </c>
      <c r="K69" s="13" t="inlineStr">
        <is>
          <t>metered (not configured)</t>
        </is>
      </c>
      <c r="L69" s="13" t="inlineStr">
        <is>
          <t>No</t>
        </is>
      </c>
      <c r="M69" s="13" t="n">
        <v>9.4</v>
      </c>
      <c r="N69" s="13" t="n">
        <v>9.199999999999999</v>
      </c>
      <c r="O69" s="13" t="n">
        <v>9.300000000000001</v>
      </c>
      <c r="P69" s="13" t="n">
        <v>9</v>
      </c>
      <c r="Q69" s="13">
        <f>IFERROR(ROUND(AVERAGE(M69:P69),1),"")</f>
        <v/>
      </c>
      <c r="R69" s="13" t="n">
        <v>8.6</v>
      </c>
      <c r="S69" s="13" t="n">
        <v>8.1</v>
      </c>
      <c r="T69" s="13" t="n">
        <v>8.4</v>
      </c>
      <c r="U69" s="13" t="n">
        <v>8.6</v>
      </c>
      <c r="V69" s="13">
        <f>IFERROR(ROUND(AVERAGE(R69:U69),1),"")</f>
        <v/>
      </c>
      <c r="W69" s="13" t="n">
        <v>8.800000000000001</v>
      </c>
      <c r="X69" s="13" t="n">
        <v>8.800000000000001</v>
      </c>
      <c r="Y69" s="13" t="n">
        <v>8.6</v>
      </c>
      <c r="Z69" s="13" t="n">
        <v>8.800000000000001</v>
      </c>
      <c r="AA69" s="13">
        <f>IFERROR(ROUND(AVERAGE(W69:Z69),1),"")</f>
        <v/>
      </c>
      <c r="AB69" s="13" t="n">
        <v>9</v>
      </c>
      <c r="AC69" s="13" t="n">
        <v>9</v>
      </c>
      <c r="AD69" s="13" t="n">
        <v>9</v>
      </c>
      <c r="AE69" s="13" t="n">
        <v>9</v>
      </c>
      <c r="AF69" s="13">
        <f>IFERROR(ROUND(AVERAGE(AB69:AE69),1),"")</f>
        <v/>
      </c>
      <c r="AG69" s="13" t="n">
        <v>8.6</v>
      </c>
      <c r="AH69" s="13" t="n">
        <v>7.8</v>
      </c>
      <c r="AI69" s="13" t="n">
        <v>8.6</v>
      </c>
      <c r="AJ69" s="13" t="n">
        <v>8.800000000000001</v>
      </c>
      <c r="AK69" s="13">
        <f>IFERROR(ROUND(AVERAGE(AG69:AJ69),1),"")</f>
        <v/>
      </c>
      <c r="AL69" s="13" t="n">
        <v>8.800000000000001</v>
      </c>
      <c r="AM69" s="13" t="n">
        <v>9</v>
      </c>
      <c r="AN69" s="13" t="n">
        <v>8</v>
      </c>
      <c r="AO69" s="13">
        <f>IFERROR(ROUND(AVERAGE(AL69:AN69),1),"")</f>
        <v/>
      </c>
      <c r="AP69" s="13" t="n">
        <v>6.5</v>
      </c>
      <c r="AQ69" s="13" t="n">
        <v>6.5</v>
      </c>
      <c r="AR69" s="13" t="n">
        <v>10</v>
      </c>
      <c r="AS69" s="13" t="n">
        <v>7.5</v>
      </c>
      <c r="AT69" s="13">
        <f>IFERROR(ROUND(AVERAGE(AP69:AS69),1),"")</f>
        <v/>
      </c>
      <c r="AU69" s="13" t="n">
        <v>8.5</v>
      </c>
      <c r="AV69" s="13" t="n">
        <v>8.6</v>
      </c>
      <c r="AW69" s="13" t="n">
        <v>8.6</v>
      </c>
      <c r="AX69" s="13" t="n">
        <v>8.5</v>
      </c>
      <c r="AY69" s="13">
        <f>IFERROR(ROUND(AVERAGE(AU69:AX69),1),"")</f>
        <v/>
      </c>
      <c r="AZ69" s="13">
        <f>ROUND(0.19*N(Q69)+0.17*N(V69)+0.17*N(AA69)+0.1*N(AF69)+0.09*N(AK69)+0.12*N(AT69)+0.16*N(AY69),1)</f>
        <v/>
      </c>
      <c r="BA69" s="13" t="inlineStr">
        <is>
          <t>1M</t>
        </is>
      </c>
      <c r="BB69" s="13" t="n">
        <v>64000</v>
      </c>
      <c r="BC69" s="13" t="n">
        <v>2</v>
      </c>
      <c r="BD69" s="13" t="n">
        <v>12</v>
      </c>
      <c r="BE69" s="13" t="inlineStr">
        <is>
          <t>critical</t>
        </is>
      </c>
      <c r="BF69" s="13" t="n">
        <v>5</v>
      </c>
      <c r="BG69" s="13" t="n">
        <v>5</v>
      </c>
      <c r="BH69" s="13" t="inlineStr">
        <is>
          <t>Top reasoning (GPQA #1), long-context multimodal, research</t>
        </is>
      </c>
      <c r="BI69" s="13" t="inlineStr"/>
      <c r="BJ69" s="14" t="inlineStr">
        <is>
          <t>H</t>
        </is>
      </c>
      <c r="BK69" s="13" t="inlineStr">
        <is>
          <t>GPQA 94.1% (#1); ARC-AGI-2 77.1%; HLE 37.5%; MMMU-Pro 83.9%; benchmark-anchored (AA Index, SWE-bench, GPQA, ARC-AGI-2, Aider, MMMU 2026-06)</t>
        </is>
      </c>
      <c r="BL69" s="13" t="inlineStr">
        <is>
          <t>2026-06-07</t>
        </is>
      </c>
    </row>
    <row r="70">
      <c r="A70" s="13" t="inlineStr">
        <is>
          <t>gemini-3.5-flash</t>
        </is>
      </c>
      <c r="B70" s="13" t="inlineStr">
        <is>
          <t>Gemini 3.5 Flash</t>
        </is>
      </c>
      <c r="C70" s="13" t="inlineStr">
        <is>
          <t>Google</t>
        </is>
      </c>
      <c r="D70" s="13" t="inlineStr">
        <is>
          <t>Gemini 3.x</t>
        </is>
      </c>
      <c r="E70" s="13" t="inlineStr">
        <is>
          <t>3.5-flash</t>
        </is>
      </c>
      <c r="F70" s="13" t="inlineStr">
        <is>
          <t>Current (latest GA)</t>
        </is>
      </c>
      <c r="G70" s="13" t="inlineStr">
        <is>
          <t>Fast Frontier</t>
        </is>
      </c>
      <c r="H70" s="13" t="inlineStr">
        <is>
          <t>Google Gemini API</t>
        </is>
      </c>
      <c r="I70" s="13" t="inlineStr">
        <is>
          <t>HTTP API</t>
        </is>
      </c>
      <c r="J70" s="13" t="inlineStr">
        <is>
          <t>Working (re-authed)</t>
        </is>
      </c>
      <c r="K70" s="13" t="inlineStr">
        <is>
          <t>subscription_included</t>
        </is>
      </c>
      <c r="L70" s="13" t="inlineStr">
        <is>
          <t>No</t>
        </is>
      </c>
      <c r="M70" s="13" t="n">
        <v>8.6</v>
      </c>
      <c r="N70" s="13" t="n">
        <v>8.4</v>
      </c>
      <c r="O70" s="13" t="n">
        <v>8.6</v>
      </c>
      <c r="P70" s="13" t="n">
        <v>8.4</v>
      </c>
      <c r="Q70" s="13">
        <f>IFERROR(ROUND(AVERAGE(M70:P70),1),"")</f>
        <v/>
      </c>
      <c r="R70" s="13" t="n">
        <v>8.4</v>
      </c>
      <c r="S70" s="13" t="n">
        <v>8</v>
      </c>
      <c r="T70" s="13" t="n">
        <v>8.199999999999999</v>
      </c>
      <c r="U70" s="13" t="n">
        <v>8.4</v>
      </c>
      <c r="V70" s="13">
        <f>IFERROR(ROUND(AVERAGE(R70:U70),1),"")</f>
        <v/>
      </c>
      <c r="W70" s="13" t="n">
        <v>8.6</v>
      </c>
      <c r="X70" s="13" t="n">
        <v>8.4</v>
      </c>
      <c r="Y70" s="13" t="n">
        <v>8.199999999999999</v>
      </c>
      <c r="Z70" s="13" t="n">
        <v>8.6</v>
      </c>
      <c r="AA70" s="13">
        <f>IFERROR(ROUND(AVERAGE(W70:Z70),1),"")</f>
        <v/>
      </c>
      <c r="AB70" s="13" t="n">
        <v>8.6</v>
      </c>
      <c r="AC70" s="13" t="n">
        <v>8.6</v>
      </c>
      <c r="AD70" s="13" t="n">
        <v>8.6</v>
      </c>
      <c r="AE70" s="13" t="n">
        <v>8.6</v>
      </c>
      <c r="AF70" s="13">
        <f>IFERROR(ROUND(AVERAGE(AB70:AE70),1),"")</f>
        <v/>
      </c>
      <c r="AG70" s="13" t="n">
        <v>8.199999999999999</v>
      </c>
      <c r="AH70" s="13" t="n">
        <v>7.4</v>
      </c>
      <c r="AI70" s="13" t="n">
        <v>8.4</v>
      </c>
      <c r="AJ70" s="13" t="n">
        <v>8.4</v>
      </c>
      <c r="AK70" s="13">
        <f>IFERROR(ROUND(AVERAGE(AG70:AJ70),1),"")</f>
        <v/>
      </c>
      <c r="AL70" s="13" t="n">
        <v>8.6</v>
      </c>
      <c r="AM70" s="13" t="n">
        <v>8.6</v>
      </c>
      <c r="AN70" s="13" t="n">
        <v>7.8</v>
      </c>
      <c r="AO70" s="13">
        <f>IFERROR(ROUND(AVERAGE(AL70:AN70),1),"")</f>
        <v/>
      </c>
      <c r="AP70" s="13" t="n">
        <v>8.800000000000001</v>
      </c>
      <c r="AQ70" s="13" t="n">
        <v>8.800000000000001</v>
      </c>
      <c r="AR70" s="13" t="n">
        <v>10</v>
      </c>
      <c r="AS70" s="13" t="n">
        <v>8.800000000000001</v>
      </c>
      <c r="AT70" s="13">
        <f>IFERROR(ROUND(AVERAGE(AP70:AS70),1),"")</f>
        <v/>
      </c>
      <c r="AU70" s="13" t="n">
        <v>8.199999999999999</v>
      </c>
      <c r="AV70" s="13" t="n">
        <v>8.300000000000001</v>
      </c>
      <c r="AW70" s="13" t="n">
        <v>8.4</v>
      </c>
      <c r="AX70" s="13" t="n">
        <v>8.199999999999999</v>
      </c>
      <c r="AY70" s="13">
        <f>IFERROR(ROUND(AVERAGE(AU70:AX70),1),"")</f>
        <v/>
      </c>
      <c r="AZ70" s="13">
        <f>ROUND(0.19*N(Q70)+0.17*N(V70)+0.17*N(AA70)+0.1*N(AF70)+0.09*N(AK70)+0.12*N(AT70)+0.16*N(AY70),1)</f>
        <v/>
      </c>
      <c r="BA70" s="13" t="inlineStr">
        <is>
          <t>1M</t>
        </is>
      </c>
      <c r="BB70" s="13" t="n">
        <v>64000</v>
      </c>
      <c r="BC70" s="13" t="n">
        <v>1.5</v>
      </c>
      <c r="BD70" s="13" t="n">
        <v>9</v>
      </c>
      <c r="BE70" s="13" t="inlineStr">
        <is>
          <t>high</t>
        </is>
      </c>
      <c r="BF70" s="13" t="n">
        <v>5</v>
      </c>
      <c r="BG70" s="13" t="n">
        <v>4</v>
      </c>
      <c r="BH70" s="13" t="inlineStr">
        <is>
          <t>Frontier-class agentic/coding at low cost+latency, 1M ctx</t>
        </is>
      </c>
      <c r="BI70" s="13" t="inlineStr"/>
      <c r="BJ70" s="14" t="inlineStr">
        <is>
          <t>H</t>
        </is>
      </c>
      <c r="BK70" s="13" t="inlineStr">
        <is>
          <t>Latest GA May 2026; benchmark-anchored (AA Index, SWE-bench, GPQA, ARC-AGI-2, Aider, MMMU 2026-06)</t>
        </is>
      </c>
      <c r="BL70" s="13" t="inlineStr">
        <is>
          <t>2026-06-07</t>
        </is>
      </c>
    </row>
    <row r="71">
      <c r="A71" s="13" t="inlineStr">
        <is>
          <t>gemini-3.5-flash</t>
        </is>
      </c>
      <c r="B71" s="13" t="inlineStr">
        <is>
          <t>Gemini 3.5 Flash</t>
        </is>
      </c>
      <c r="C71" s="13" t="inlineStr">
        <is>
          <t>Google</t>
        </is>
      </c>
      <c r="D71" s="13" t="inlineStr">
        <is>
          <t>Gemini 3.x</t>
        </is>
      </c>
      <c r="E71" s="13" t="inlineStr">
        <is>
          <t>3.5-flash</t>
        </is>
      </c>
      <c r="F71" s="13" t="inlineStr">
        <is>
          <t>Current (latest GA)</t>
        </is>
      </c>
      <c r="G71" s="13" t="inlineStr">
        <is>
          <t>Fast Frontier</t>
        </is>
      </c>
      <c r="H71" s="13" t="inlineStr">
        <is>
          <t>Gemini CLI</t>
        </is>
      </c>
      <c r="I71" s="13" t="inlineStr">
        <is>
          <t>CLI</t>
        </is>
      </c>
      <c r="J71" s="13" t="inlineStr">
        <is>
          <t>Working (re-authed)</t>
        </is>
      </c>
      <c r="K71" s="13" t="inlineStr">
        <is>
          <t>subscription_included</t>
        </is>
      </c>
      <c r="L71" s="13" t="inlineStr">
        <is>
          <t>No</t>
        </is>
      </c>
      <c r="M71" s="13" t="n">
        <v>8.6</v>
      </c>
      <c r="N71" s="13" t="n">
        <v>8.4</v>
      </c>
      <c r="O71" s="13" t="n">
        <v>8.6</v>
      </c>
      <c r="P71" s="13" t="n">
        <v>8.4</v>
      </c>
      <c r="Q71" s="13">
        <f>IFERROR(ROUND(AVERAGE(M71:P71),1),"")</f>
        <v/>
      </c>
      <c r="R71" s="13" t="n">
        <v>8.4</v>
      </c>
      <c r="S71" s="13" t="n">
        <v>8</v>
      </c>
      <c r="T71" s="13" t="n">
        <v>8.199999999999999</v>
      </c>
      <c r="U71" s="13" t="n">
        <v>8.4</v>
      </c>
      <c r="V71" s="13">
        <f>IFERROR(ROUND(AVERAGE(R71:U71),1),"")</f>
        <v/>
      </c>
      <c r="W71" s="13" t="n">
        <v>8.6</v>
      </c>
      <c r="X71" s="13" t="n">
        <v>8.4</v>
      </c>
      <c r="Y71" s="13" t="n">
        <v>8.199999999999999</v>
      </c>
      <c r="Z71" s="13" t="n">
        <v>8.6</v>
      </c>
      <c r="AA71" s="13">
        <f>IFERROR(ROUND(AVERAGE(W71:Z71),1),"")</f>
        <v/>
      </c>
      <c r="AB71" s="13" t="n">
        <v>8.6</v>
      </c>
      <c r="AC71" s="13" t="n">
        <v>8.6</v>
      </c>
      <c r="AD71" s="13" t="n">
        <v>8.6</v>
      </c>
      <c r="AE71" s="13" t="n">
        <v>8.6</v>
      </c>
      <c r="AF71" s="13">
        <f>IFERROR(ROUND(AVERAGE(AB71:AE71),1),"")</f>
        <v/>
      </c>
      <c r="AG71" s="13" t="n">
        <v>8.199999999999999</v>
      </c>
      <c r="AH71" s="13" t="n">
        <v>7.4</v>
      </c>
      <c r="AI71" s="13" t="n">
        <v>8.4</v>
      </c>
      <c r="AJ71" s="13" t="n">
        <v>8.4</v>
      </c>
      <c r="AK71" s="13">
        <f>IFERROR(ROUND(AVERAGE(AG71:AJ71),1),"")</f>
        <v/>
      </c>
      <c r="AL71" s="13" t="n">
        <v>8.6</v>
      </c>
      <c r="AM71" s="13" t="n">
        <v>8.6</v>
      </c>
      <c r="AN71" s="13" t="n">
        <v>7.8</v>
      </c>
      <c r="AO71" s="13">
        <f>IFERROR(ROUND(AVERAGE(AL71:AN71),1),"")</f>
        <v/>
      </c>
      <c r="AP71" s="13" t="n">
        <v>8.800000000000001</v>
      </c>
      <c r="AQ71" s="13" t="n">
        <v>8.800000000000001</v>
      </c>
      <c r="AR71" s="13" t="n">
        <v>10</v>
      </c>
      <c r="AS71" s="13" t="n">
        <v>8.800000000000001</v>
      </c>
      <c r="AT71" s="13">
        <f>IFERROR(ROUND(AVERAGE(AP71:AS71),1),"")</f>
        <v/>
      </c>
      <c r="AU71" s="13" t="n">
        <v>8.199999999999999</v>
      </c>
      <c r="AV71" s="13" t="n">
        <v>8.300000000000001</v>
      </c>
      <c r="AW71" s="13" t="n">
        <v>8.4</v>
      </c>
      <c r="AX71" s="13" t="n">
        <v>8.199999999999999</v>
      </c>
      <c r="AY71" s="13">
        <f>IFERROR(ROUND(AVERAGE(AU71:AX71),1),"")</f>
        <v/>
      </c>
      <c r="AZ71" s="13">
        <f>ROUND(0.19*N(Q71)+0.17*N(V71)+0.17*N(AA71)+0.1*N(AF71)+0.09*N(AK71)+0.12*N(AT71)+0.16*N(AY71),1)</f>
        <v/>
      </c>
      <c r="BA71" s="13" t="inlineStr">
        <is>
          <t>1M</t>
        </is>
      </c>
      <c r="BB71" s="13" t="n">
        <v>64000</v>
      </c>
      <c r="BC71" s="13" t="n">
        <v>1.5</v>
      </c>
      <c r="BD71" s="13" t="n">
        <v>9</v>
      </c>
      <c r="BE71" s="13" t="inlineStr">
        <is>
          <t>high</t>
        </is>
      </c>
      <c r="BF71" s="13" t="n">
        <v>5</v>
      </c>
      <c r="BG71" s="13" t="n">
        <v>4</v>
      </c>
      <c r="BH71" s="13" t="inlineStr">
        <is>
          <t>Frontier-class agentic/coding at low cost+latency, 1M ctx</t>
        </is>
      </c>
      <c r="BI71" s="13" t="inlineStr"/>
      <c r="BJ71" s="14" t="inlineStr">
        <is>
          <t>H</t>
        </is>
      </c>
      <c r="BK71" s="13" t="inlineStr">
        <is>
          <t>Latest GA May 2026; benchmark-anchored (AA Index, SWE-bench, GPQA, ARC-AGI-2, Aider, MMMU 2026-06)</t>
        </is>
      </c>
      <c r="BL71" s="13" t="inlineStr">
        <is>
          <t>2026-06-07</t>
        </is>
      </c>
    </row>
    <row r="72">
      <c r="A72" s="13" t="inlineStr">
        <is>
          <t>gemini-3.5-flash</t>
        </is>
      </c>
      <c r="B72" s="13" t="inlineStr">
        <is>
          <t>Gemini 3.5 Flash</t>
        </is>
      </c>
      <c r="C72" s="13" t="inlineStr">
        <is>
          <t>Google</t>
        </is>
      </c>
      <c r="D72" s="13" t="inlineStr">
        <is>
          <t>Gemini 3.x</t>
        </is>
      </c>
      <c r="E72" s="13" t="inlineStr">
        <is>
          <t>3.5-flash</t>
        </is>
      </c>
      <c r="F72" s="13" t="inlineStr">
        <is>
          <t>Current (latest GA)</t>
        </is>
      </c>
      <c r="G72" s="13" t="inlineStr">
        <is>
          <t>Fast Frontier</t>
        </is>
      </c>
      <c r="H72" s="13" t="inlineStr">
        <is>
          <t>Google Antigravity</t>
        </is>
      </c>
      <c r="I72" s="13" t="inlineStr">
        <is>
          <t>IDE app</t>
        </is>
      </c>
      <c r="J72" s="13" t="inlineStr">
        <is>
          <t>Installed</t>
        </is>
      </c>
      <c r="K72" s="13" t="inlineStr">
        <is>
          <t>subscription_included</t>
        </is>
      </c>
      <c r="L72" s="13" t="inlineStr">
        <is>
          <t>No</t>
        </is>
      </c>
      <c r="M72" s="13" t="n">
        <v>8.6</v>
      </c>
      <c r="N72" s="13" t="n">
        <v>8.4</v>
      </c>
      <c r="O72" s="13" t="n">
        <v>8.6</v>
      </c>
      <c r="P72" s="13" t="n">
        <v>8.4</v>
      </c>
      <c r="Q72" s="13">
        <f>IFERROR(ROUND(AVERAGE(M72:P72),1),"")</f>
        <v/>
      </c>
      <c r="R72" s="13" t="n">
        <v>8.4</v>
      </c>
      <c r="S72" s="13" t="n">
        <v>8</v>
      </c>
      <c r="T72" s="13" t="n">
        <v>8.199999999999999</v>
      </c>
      <c r="U72" s="13" t="n">
        <v>8.4</v>
      </c>
      <c r="V72" s="13">
        <f>IFERROR(ROUND(AVERAGE(R72:U72),1),"")</f>
        <v/>
      </c>
      <c r="W72" s="13" t="n">
        <v>8.6</v>
      </c>
      <c r="X72" s="13" t="n">
        <v>8.4</v>
      </c>
      <c r="Y72" s="13" t="n">
        <v>8.199999999999999</v>
      </c>
      <c r="Z72" s="13" t="n">
        <v>8.6</v>
      </c>
      <c r="AA72" s="13">
        <f>IFERROR(ROUND(AVERAGE(W72:Z72),1),"")</f>
        <v/>
      </c>
      <c r="AB72" s="13" t="n">
        <v>8.6</v>
      </c>
      <c r="AC72" s="13" t="n">
        <v>8.6</v>
      </c>
      <c r="AD72" s="13" t="n">
        <v>8.6</v>
      </c>
      <c r="AE72" s="13" t="n">
        <v>8.6</v>
      </c>
      <c r="AF72" s="13">
        <f>IFERROR(ROUND(AVERAGE(AB72:AE72),1),"")</f>
        <v/>
      </c>
      <c r="AG72" s="13" t="n">
        <v>8.199999999999999</v>
      </c>
      <c r="AH72" s="13" t="n">
        <v>7.4</v>
      </c>
      <c r="AI72" s="13" t="n">
        <v>8.4</v>
      </c>
      <c r="AJ72" s="13" t="n">
        <v>8.4</v>
      </c>
      <c r="AK72" s="13">
        <f>IFERROR(ROUND(AVERAGE(AG72:AJ72),1),"")</f>
        <v/>
      </c>
      <c r="AL72" s="13" t="n">
        <v>8.6</v>
      </c>
      <c r="AM72" s="13" t="n">
        <v>8.6</v>
      </c>
      <c r="AN72" s="13" t="n">
        <v>7.8</v>
      </c>
      <c r="AO72" s="13">
        <f>IFERROR(ROUND(AVERAGE(AL72:AN72),1),"")</f>
        <v/>
      </c>
      <c r="AP72" s="13" t="n">
        <v>8.800000000000001</v>
      </c>
      <c r="AQ72" s="13" t="n">
        <v>8.800000000000001</v>
      </c>
      <c r="AR72" s="13" t="n">
        <v>10</v>
      </c>
      <c r="AS72" s="13" t="n">
        <v>8.800000000000001</v>
      </c>
      <c r="AT72" s="13">
        <f>IFERROR(ROUND(AVERAGE(AP72:AS72),1),"")</f>
        <v/>
      </c>
      <c r="AU72" s="13" t="n">
        <v>8.199999999999999</v>
      </c>
      <c r="AV72" s="13" t="n">
        <v>8.300000000000001</v>
      </c>
      <c r="AW72" s="13" t="n">
        <v>8.4</v>
      </c>
      <c r="AX72" s="13" t="n">
        <v>8.199999999999999</v>
      </c>
      <c r="AY72" s="13">
        <f>IFERROR(ROUND(AVERAGE(AU72:AX72),1),"")</f>
        <v/>
      </c>
      <c r="AZ72" s="13">
        <f>ROUND(0.19*N(Q72)+0.17*N(V72)+0.17*N(AA72)+0.1*N(AF72)+0.09*N(AK72)+0.12*N(AT72)+0.16*N(AY72),1)</f>
        <v/>
      </c>
      <c r="BA72" s="13" t="inlineStr">
        <is>
          <t>1M</t>
        </is>
      </c>
      <c r="BB72" s="13" t="n">
        <v>64000</v>
      </c>
      <c r="BC72" s="13" t="n">
        <v>1.5</v>
      </c>
      <c r="BD72" s="13" t="n">
        <v>9</v>
      </c>
      <c r="BE72" s="13" t="inlineStr">
        <is>
          <t>high</t>
        </is>
      </c>
      <c r="BF72" s="13" t="n">
        <v>5</v>
      </c>
      <c r="BG72" s="13" t="n">
        <v>4</v>
      </c>
      <c r="BH72" s="13" t="inlineStr">
        <is>
          <t>Frontier-class agentic/coding at low cost+latency, 1M ctx</t>
        </is>
      </c>
      <c r="BI72" s="13" t="inlineStr"/>
      <c r="BJ72" s="14" t="inlineStr">
        <is>
          <t>H</t>
        </is>
      </c>
      <c r="BK72" s="13" t="inlineStr">
        <is>
          <t>Latest GA May 2026; benchmark-anchored (AA Index, SWE-bench, GPQA, ARC-AGI-2, Aider, MMMU 2026-06)</t>
        </is>
      </c>
      <c r="BL72" s="13" t="inlineStr">
        <is>
          <t>2026-06-07</t>
        </is>
      </c>
    </row>
    <row r="73">
      <c r="A73" s="13" t="inlineStr">
        <is>
          <t>gemini-3.1-flash</t>
        </is>
      </c>
      <c r="B73" s="13" t="inlineStr">
        <is>
          <t>Gemini 3.1 Flash</t>
        </is>
      </c>
      <c r="C73" s="13" t="inlineStr">
        <is>
          <t>Google</t>
        </is>
      </c>
      <c r="D73" s="13" t="inlineStr">
        <is>
          <t>Gemini 3.x</t>
        </is>
      </c>
      <c r="E73" s="13" t="inlineStr">
        <is>
          <t>3.1-flash</t>
        </is>
      </c>
      <c r="F73" s="13" t="inlineStr">
        <is>
          <t>Current</t>
        </is>
      </c>
      <c r="G73" s="13" t="inlineStr">
        <is>
          <t>Fast multimodal</t>
        </is>
      </c>
      <c r="H73" s="13" t="inlineStr">
        <is>
          <t>Google Gemini API</t>
        </is>
      </c>
      <c r="I73" s="13" t="inlineStr">
        <is>
          <t>HTTP API</t>
        </is>
      </c>
      <c r="J73" s="13" t="inlineStr">
        <is>
          <t>Working (re-authed)</t>
        </is>
      </c>
      <c r="K73" s="13" t="inlineStr">
        <is>
          <t>subscription_included</t>
        </is>
      </c>
      <c r="L73" s="13" t="inlineStr">
        <is>
          <t>No</t>
        </is>
      </c>
      <c r="M73" s="13" t="n">
        <v>8.199999999999999</v>
      </c>
      <c r="N73" s="13" t="n">
        <v>8</v>
      </c>
      <c r="O73" s="13" t="n">
        <v>8.199999999999999</v>
      </c>
      <c r="P73" s="13" t="n">
        <v>8.199999999999999</v>
      </c>
      <c r="Q73" s="13">
        <f>IFERROR(ROUND(AVERAGE(M73:P73),1),"")</f>
        <v/>
      </c>
      <c r="R73" s="13" t="n">
        <v>8</v>
      </c>
      <c r="S73" s="13" t="n">
        <v>7.6</v>
      </c>
      <c r="T73" s="13" t="n">
        <v>7.8</v>
      </c>
      <c r="U73" s="13" t="n">
        <v>8</v>
      </c>
      <c r="V73" s="13">
        <f>IFERROR(ROUND(AVERAGE(R73:U73),1),"")</f>
        <v/>
      </c>
      <c r="W73" s="13" t="n">
        <v>8.199999999999999</v>
      </c>
      <c r="X73" s="13" t="n">
        <v>8</v>
      </c>
      <c r="Y73" s="13" t="n">
        <v>7.8</v>
      </c>
      <c r="Z73" s="13" t="n">
        <v>8.199999999999999</v>
      </c>
      <c r="AA73" s="13">
        <f>IFERROR(ROUND(AVERAGE(W73:Z73),1),"")</f>
        <v/>
      </c>
      <c r="AB73" s="13" t="n">
        <v>8.4</v>
      </c>
      <c r="AC73" s="13" t="n">
        <v>8.4</v>
      </c>
      <c r="AD73" s="13" t="n">
        <v>8.4</v>
      </c>
      <c r="AE73" s="13" t="n">
        <v>8.4</v>
      </c>
      <c r="AF73" s="13">
        <f>IFERROR(ROUND(AVERAGE(AB73:AE73),1),"")</f>
        <v/>
      </c>
      <c r="AG73" s="13" t="n">
        <v>7.8</v>
      </c>
      <c r="AH73" s="13" t="n">
        <v>7</v>
      </c>
      <c r="AI73" s="13" t="n">
        <v>8</v>
      </c>
      <c r="AJ73" s="13" t="n">
        <v>8</v>
      </c>
      <c r="AK73" s="13">
        <f>IFERROR(ROUND(AVERAGE(AG73:AJ73),1),"")</f>
        <v/>
      </c>
      <c r="AL73" s="13" t="n">
        <v>8.4</v>
      </c>
      <c r="AM73" s="13" t="n">
        <v>8.4</v>
      </c>
      <c r="AN73" s="13" t="n">
        <v>7.6</v>
      </c>
      <c r="AO73" s="13">
        <f>IFERROR(ROUND(AVERAGE(AL73:AN73),1),"")</f>
        <v/>
      </c>
      <c r="AP73" s="13" t="n">
        <v>9</v>
      </c>
      <c r="AQ73" s="13" t="n">
        <v>9</v>
      </c>
      <c r="AR73" s="13" t="n">
        <v>10</v>
      </c>
      <c r="AS73" s="13" t="n">
        <v>9</v>
      </c>
      <c r="AT73" s="13">
        <f>IFERROR(ROUND(AVERAGE(AP73:AS73),1),"")</f>
        <v/>
      </c>
      <c r="AU73" s="13" t="n">
        <v>8</v>
      </c>
      <c r="AV73" s="13" t="n">
        <v>8.1</v>
      </c>
      <c r="AW73" s="13" t="n">
        <v>8.199999999999999</v>
      </c>
      <c r="AX73" s="13" t="n">
        <v>8</v>
      </c>
      <c r="AY73" s="13">
        <f>IFERROR(ROUND(AVERAGE(AU73:AX73),1),"")</f>
        <v/>
      </c>
      <c r="AZ73" s="13">
        <f>ROUND(0.19*N(Q73)+0.17*N(V73)+0.17*N(AA73)+0.1*N(AF73)+0.09*N(AK73)+0.12*N(AT73)+0.16*N(AY73),1)</f>
        <v/>
      </c>
      <c r="BA73" s="13" t="inlineStr">
        <is>
          <t>1M</t>
        </is>
      </c>
      <c r="BB73" s="13" t="n">
        <v>64000</v>
      </c>
      <c r="BC73" s="13" t="inlineStr"/>
      <c r="BD73" s="13" t="inlineStr"/>
      <c r="BE73" s="13" t="inlineStr">
        <is>
          <t>high</t>
        </is>
      </c>
      <c r="BF73" s="13" t="n">
        <v>4</v>
      </c>
      <c r="BG73" s="13" t="n">
        <v>4</v>
      </c>
      <c r="BH73" s="13" t="inlineStr">
        <is>
          <t>Fast multimodal, high-volume agentic</t>
        </is>
      </c>
      <c r="BI73" s="13" t="inlineStr"/>
      <c r="BJ73" s="15" t="inlineStr">
        <is>
          <t>M</t>
        </is>
      </c>
      <c r="BK73" s="13" t="inlineStr">
        <is>
          <t>Fast 3.1 tier; family-inherited estimate (scaled from flagship); verify before HIGH-stakes routing</t>
        </is>
      </c>
      <c r="BL73" s="13" t="inlineStr">
        <is>
          <t>2026-06-07</t>
        </is>
      </c>
    </row>
    <row r="74">
      <c r="A74" s="13" t="inlineStr">
        <is>
          <t>gemini-3.1-flash</t>
        </is>
      </c>
      <c r="B74" s="13" t="inlineStr">
        <is>
          <t>Gemini 3.1 Flash</t>
        </is>
      </c>
      <c r="C74" s="13" t="inlineStr">
        <is>
          <t>Google</t>
        </is>
      </c>
      <c r="D74" s="13" t="inlineStr">
        <is>
          <t>Gemini 3.x</t>
        </is>
      </c>
      <c r="E74" s="13" t="inlineStr">
        <is>
          <t>3.1-flash</t>
        </is>
      </c>
      <c r="F74" s="13" t="inlineStr">
        <is>
          <t>Current</t>
        </is>
      </c>
      <c r="G74" s="13" t="inlineStr">
        <is>
          <t>Fast multimodal</t>
        </is>
      </c>
      <c r="H74" s="13" t="inlineStr">
        <is>
          <t>Gemini CLI</t>
        </is>
      </c>
      <c r="I74" s="13" t="inlineStr">
        <is>
          <t>CLI</t>
        </is>
      </c>
      <c r="J74" s="13" t="inlineStr">
        <is>
          <t>Working (re-authed)</t>
        </is>
      </c>
      <c r="K74" s="13" t="inlineStr">
        <is>
          <t>subscription_included</t>
        </is>
      </c>
      <c r="L74" s="13" t="inlineStr">
        <is>
          <t>No</t>
        </is>
      </c>
      <c r="M74" s="13" t="n">
        <v>8.199999999999999</v>
      </c>
      <c r="N74" s="13" t="n">
        <v>8</v>
      </c>
      <c r="O74" s="13" t="n">
        <v>8.199999999999999</v>
      </c>
      <c r="P74" s="13" t="n">
        <v>8.199999999999999</v>
      </c>
      <c r="Q74" s="13">
        <f>IFERROR(ROUND(AVERAGE(M74:P74),1),"")</f>
        <v/>
      </c>
      <c r="R74" s="13" t="n">
        <v>8</v>
      </c>
      <c r="S74" s="13" t="n">
        <v>7.6</v>
      </c>
      <c r="T74" s="13" t="n">
        <v>7.8</v>
      </c>
      <c r="U74" s="13" t="n">
        <v>8</v>
      </c>
      <c r="V74" s="13">
        <f>IFERROR(ROUND(AVERAGE(R74:U74),1),"")</f>
        <v/>
      </c>
      <c r="W74" s="13" t="n">
        <v>8.199999999999999</v>
      </c>
      <c r="X74" s="13" t="n">
        <v>8</v>
      </c>
      <c r="Y74" s="13" t="n">
        <v>7.8</v>
      </c>
      <c r="Z74" s="13" t="n">
        <v>8.199999999999999</v>
      </c>
      <c r="AA74" s="13">
        <f>IFERROR(ROUND(AVERAGE(W74:Z74),1),"")</f>
        <v/>
      </c>
      <c r="AB74" s="13" t="n">
        <v>8.4</v>
      </c>
      <c r="AC74" s="13" t="n">
        <v>8.4</v>
      </c>
      <c r="AD74" s="13" t="n">
        <v>8.4</v>
      </c>
      <c r="AE74" s="13" t="n">
        <v>8.4</v>
      </c>
      <c r="AF74" s="13">
        <f>IFERROR(ROUND(AVERAGE(AB74:AE74),1),"")</f>
        <v/>
      </c>
      <c r="AG74" s="13" t="n">
        <v>7.8</v>
      </c>
      <c r="AH74" s="13" t="n">
        <v>7</v>
      </c>
      <c r="AI74" s="13" t="n">
        <v>8</v>
      </c>
      <c r="AJ74" s="13" t="n">
        <v>8</v>
      </c>
      <c r="AK74" s="13">
        <f>IFERROR(ROUND(AVERAGE(AG74:AJ74),1),"")</f>
        <v/>
      </c>
      <c r="AL74" s="13" t="n">
        <v>8.4</v>
      </c>
      <c r="AM74" s="13" t="n">
        <v>8.4</v>
      </c>
      <c r="AN74" s="13" t="n">
        <v>7.6</v>
      </c>
      <c r="AO74" s="13">
        <f>IFERROR(ROUND(AVERAGE(AL74:AN74),1),"")</f>
        <v/>
      </c>
      <c r="AP74" s="13" t="n">
        <v>9</v>
      </c>
      <c r="AQ74" s="13" t="n">
        <v>9</v>
      </c>
      <c r="AR74" s="13" t="n">
        <v>10</v>
      </c>
      <c r="AS74" s="13" t="n">
        <v>9</v>
      </c>
      <c r="AT74" s="13">
        <f>IFERROR(ROUND(AVERAGE(AP74:AS74),1),"")</f>
        <v/>
      </c>
      <c r="AU74" s="13" t="n">
        <v>8</v>
      </c>
      <c r="AV74" s="13" t="n">
        <v>8.1</v>
      </c>
      <c r="AW74" s="13" t="n">
        <v>8.199999999999999</v>
      </c>
      <c r="AX74" s="13" t="n">
        <v>8</v>
      </c>
      <c r="AY74" s="13">
        <f>IFERROR(ROUND(AVERAGE(AU74:AX74),1),"")</f>
        <v/>
      </c>
      <c r="AZ74" s="13">
        <f>ROUND(0.19*N(Q74)+0.17*N(V74)+0.17*N(AA74)+0.1*N(AF74)+0.09*N(AK74)+0.12*N(AT74)+0.16*N(AY74),1)</f>
        <v/>
      </c>
      <c r="BA74" s="13" t="inlineStr">
        <is>
          <t>1M</t>
        </is>
      </c>
      <c r="BB74" s="13" t="n">
        <v>64000</v>
      </c>
      <c r="BC74" s="13" t="inlineStr"/>
      <c r="BD74" s="13" t="inlineStr"/>
      <c r="BE74" s="13" t="inlineStr">
        <is>
          <t>high</t>
        </is>
      </c>
      <c r="BF74" s="13" t="n">
        <v>4</v>
      </c>
      <c r="BG74" s="13" t="n">
        <v>4</v>
      </c>
      <c r="BH74" s="13" t="inlineStr">
        <is>
          <t>Fast multimodal, high-volume agentic</t>
        </is>
      </c>
      <c r="BI74" s="13" t="inlineStr"/>
      <c r="BJ74" s="15" t="inlineStr">
        <is>
          <t>M</t>
        </is>
      </c>
      <c r="BK74" s="13" t="inlineStr">
        <is>
          <t>Fast 3.1 tier; family-inherited estimate (scaled from flagship); verify before HIGH-stakes routing</t>
        </is>
      </c>
      <c r="BL74" s="13" t="inlineStr">
        <is>
          <t>2026-06-07</t>
        </is>
      </c>
    </row>
    <row r="75">
      <c r="A75" s="13" t="inlineStr">
        <is>
          <t>gemini-3.1-flash</t>
        </is>
      </c>
      <c r="B75" s="13" t="inlineStr">
        <is>
          <t>Gemini 3.1 Flash</t>
        </is>
      </c>
      <c r="C75" s="13" t="inlineStr">
        <is>
          <t>Google</t>
        </is>
      </c>
      <c r="D75" s="13" t="inlineStr">
        <is>
          <t>Gemini 3.x</t>
        </is>
      </c>
      <c r="E75" s="13" t="inlineStr">
        <is>
          <t>3.1-flash</t>
        </is>
      </c>
      <c r="F75" s="13" t="inlineStr">
        <is>
          <t>Current</t>
        </is>
      </c>
      <c r="G75" s="13" t="inlineStr">
        <is>
          <t>Fast multimodal</t>
        </is>
      </c>
      <c r="H75" s="13" t="inlineStr">
        <is>
          <t>Google Antigravity</t>
        </is>
      </c>
      <c r="I75" s="13" t="inlineStr">
        <is>
          <t>IDE app</t>
        </is>
      </c>
      <c r="J75" s="13" t="inlineStr">
        <is>
          <t>Installed</t>
        </is>
      </c>
      <c r="K75" s="13" t="inlineStr">
        <is>
          <t>subscription_included</t>
        </is>
      </c>
      <c r="L75" s="13" t="inlineStr">
        <is>
          <t>No</t>
        </is>
      </c>
      <c r="M75" s="13" t="n">
        <v>8.199999999999999</v>
      </c>
      <c r="N75" s="13" t="n">
        <v>8</v>
      </c>
      <c r="O75" s="13" t="n">
        <v>8.199999999999999</v>
      </c>
      <c r="P75" s="13" t="n">
        <v>8.199999999999999</v>
      </c>
      <c r="Q75" s="13">
        <f>IFERROR(ROUND(AVERAGE(M75:P75),1),"")</f>
        <v/>
      </c>
      <c r="R75" s="13" t="n">
        <v>8</v>
      </c>
      <c r="S75" s="13" t="n">
        <v>7.6</v>
      </c>
      <c r="T75" s="13" t="n">
        <v>7.8</v>
      </c>
      <c r="U75" s="13" t="n">
        <v>8</v>
      </c>
      <c r="V75" s="13">
        <f>IFERROR(ROUND(AVERAGE(R75:U75),1),"")</f>
        <v/>
      </c>
      <c r="W75" s="13" t="n">
        <v>8.199999999999999</v>
      </c>
      <c r="X75" s="13" t="n">
        <v>8</v>
      </c>
      <c r="Y75" s="13" t="n">
        <v>7.8</v>
      </c>
      <c r="Z75" s="13" t="n">
        <v>8.199999999999999</v>
      </c>
      <c r="AA75" s="13">
        <f>IFERROR(ROUND(AVERAGE(W75:Z75),1),"")</f>
        <v/>
      </c>
      <c r="AB75" s="13" t="n">
        <v>8.4</v>
      </c>
      <c r="AC75" s="13" t="n">
        <v>8.4</v>
      </c>
      <c r="AD75" s="13" t="n">
        <v>8.4</v>
      </c>
      <c r="AE75" s="13" t="n">
        <v>8.4</v>
      </c>
      <c r="AF75" s="13">
        <f>IFERROR(ROUND(AVERAGE(AB75:AE75),1),"")</f>
        <v/>
      </c>
      <c r="AG75" s="13" t="n">
        <v>7.8</v>
      </c>
      <c r="AH75" s="13" t="n">
        <v>7</v>
      </c>
      <c r="AI75" s="13" t="n">
        <v>8</v>
      </c>
      <c r="AJ75" s="13" t="n">
        <v>8</v>
      </c>
      <c r="AK75" s="13">
        <f>IFERROR(ROUND(AVERAGE(AG75:AJ75),1),"")</f>
        <v/>
      </c>
      <c r="AL75" s="13" t="n">
        <v>8.4</v>
      </c>
      <c r="AM75" s="13" t="n">
        <v>8.4</v>
      </c>
      <c r="AN75" s="13" t="n">
        <v>7.6</v>
      </c>
      <c r="AO75" s="13">
        <f>IFERROR(ROUND(AVERAGE(AL75:AN75),1),"")</f>
        <v/>
      </c>
      <c r="AP75" s="13" t="n">
        <v>9</v>
      </c>
      <c r="AQ75" s="13" t="n">
        <v>9</v>
      </c>
      <c r="AR75" s="13" t="n">
        <v>10</v>
      </c>
      <c r="AS75" s="13" t="n">
        <v>9</v>
      </c>
      <c r="AT75" s="13">
        <f>IFERROR(ROUND(AVERAGE(AP75:AS75),1),"")</f>
        <v/>
      </c>
      <c r="AU75" s="13" t="n">
        <v>8</v>
      </c>
      <c r="AV75" s="13" t="n">
        <v>8.1</v>
      </c>
      <c r="AW75" s="13" t="n">
        <v>8.199999999999999</v>
      </c>
      <c r="AX75" s="13" t="n">
        <v>8</v>
      </c>
      <c r="AY75" s="13">
        <f>IFERROR(ROUND(AVERAGE(AU75:AX75),1),"")</f>
        <v/>
      </c>
      <c r="AZ75" s="13">
        <f>ROUND(0.19*N(Q75)+0.17*N(V75)+0.17*N(AA75)+0.1*N(AF75)+0.09*N(AK75)+0.12*N(AT75)+0.16*N(AY75),1)</f>
        <v/>
      </c>
      <c r="BA75" s="13" t="inlineStr">
        <is>
          <t>1M</t>
        </is>
      </c>
      <c r="BB75" s="13" t="n">
        <v>64000</v>
      </c>
      <c r="BC75" s="13" t="inlineStr"/>
      <c r="BD75" s="13" t="inlineStr"/>
      <c r="BE75" s="13" t="inlineStr">
        <is>
          <t>high</t>
        </is>
      </c>
      <c r="BF75" s="13" t="n">
        <v>4</v>
      </c>
      <c r="BG75" s="13" t="n">
        <v>4</v>
      </c>
      <c r="BH75" s="13" t="inlineStr">
        <is>
          <t>Fast multimodal, high-volume agentic</t>
        </is>
      </c>
      <c r="BI75" s="13" t="inlineStr"/>
      <c r="BJ75" s="15" t="inlineStr">
        <is>
          <t>M</t>
        </is>
      </c>
      <c r="BK75" s="13" t="inlineStr">
        <is>
          <t>Fast 3.1 tier; family-inherited estimate (scaled from flagship); verify before HIGH-stakes routing</t>
        </is>
      </c>
      <c r="BL75" s="13" t="inlineStr">
        <is>
          <t>2026-06-07</t>
        </is>
      </c>
    </row>
    <row r="76">
      <c r="A76" s="13" t="inlineStr">
        <is>
          <t>gemini-3.1-flash-lite</t>
        </is>
      </c>
      <c r="B76" s="13" t="inlineStr">
        <is>
          <t>Gemini 3.1 Flash Lite</t>
        </is>
      </c>
      <c r="C76" s="13" t="inlineStr">
        <is>
          <t>Google</t>
        </is>
      </c>
      <c r="D76" s="13" t="inlineStr">
        <is>
          <t>Gemini 3.x</t>
        </is>
      </c>
      <c r="E76" s="13" t="inlineStr">
        <is>
          <t>3.1-flash-lite</t>
        </is>
      </c>
      <c r="F76" s="13" t="inlineStr">
        <is>
          <t>Current</t>
        </is>
      </c>
      <c r="G76" s="13" t="inlineStr">
        <is>
          <t>Budget</t>
        </is>
      </c>
      <c r="H76" s="13" t="inlineStr">
        <is>
          <t>Google Gemini API</t>
        </is>
      </c>
      <c r="I76" s="13" t="inlineStr">
        <is>
          <t>HTTP API</t>
        </is>
      </c>
      <c r="J76" s="13" t="inlineStr">
        <is>
          <t>Working (re-authed)</t>
        </is>
      </c>
      <c r="K76" s="13" t="inlineStr">
        <is>
          <t>subscription_included</t>
        </is>
      </c>
      <c r="L76" s="13" t="inlineStr">
        <is>
          <t>No</t>
        </is>
      </c>
      <c r="M76" s="13" t="n">
        <v>7.4</v>
      </c>
      <c r="N76" s="13" t="n">
        <v>7</v>
      </c>
      <c r="O76" s="13" t="n">
        <v>7.2</v>
      </c>
      <c r="P76" s="13" t="n">
        <v>7.4</v>
      </c>
      <c r="Q76" s="13">
        <f>IFERROR(ROUND(AVERAGE(M76:P76),1),"")</f>
        <v/>
      </c>
      <c r="R76" s="13" t="n">
        <v>7</v>
      </c>
      <c r="S76" s="13" t="n">
        <v>6.6</v>
      </c>
      <c r="T76" s="13" t="n">
        <v>6.8</v>
      </c>
      <c r="U76" s="13" t="n">
        <v>7</v>
      </c>
      <c r="V76" s="13">
        <f>IFERROR(ROUND(AVERAGE(R76:U76),1),"")</f>
        <v/>
      </c>
      <c r="W76" s="13" t="n">
        <v>7.2</v>
      </c>
      <c r="X76" s="13" t="n">
        <v>7</v>
      </c>
      <c r="Y76" s="13" t="n">
        <v>6.8</v>
      </c>
      <c r="Z76" s="13" t="n">
        <v>7.4</v>
      </c>
      <c r="AA76" s="13">
        <f>IFERROR(ROUND(AVERAGE(W76:Z76),1),"")</f>
        <v/>
      </c>
      <c r="AB76" s="13" t="n">
        <v>7.6</v>
      </c>
      <c r="AC76" s="13" t="n">
        <v>7.6</v>
      </c>
      <c r="AD76" s="13" t="n">
        <v>7.6</v>
      </c>
      <c r="AE76" s="13" t="n">
        <v>7.6</v>
      </c>
      <c r="AF76" s="13">
        <f>IFERROR(ROUND(AVERAGE(AB76:AE76),1),"")</f>
        <v/>
      </c>
      <c r="AG76" s="13" t="n">
        <v>6.8</v>
      </c>
      <c r="AH76" s="13" t="n">
        <v>6.2</v>
      </c>
      <c r="AI76" s="13" t="n">
        <v>7.2</v>
      </c>
      <c r="AJ76" s="13" t="n">
        <v>7</v>
      </c>
      <c r="AK76" s="13">
        <f>IFERROR(ROUND(AVERAGE(AG76:AJ76),1),"")</f>
        <v/>
      </c>
      <c r="AL76" s="13" t="n">
        <v>7.6</v>
      </c>
      <c r="AM76" s="13" t="n">
        <v>7.6</v>
      </c>
      <c r="AN76" s="13" t="n">
        <v>6.8</v>
      </c>
      <c r="AO76" s="13">
        <f>IFERROR(ROUND(AVERAGE(AL76:AN76),1),"")</f>
        <v/>
      </c>
      <c r="AP76" s="13" t="n">
        <v>9.4</v>
      </c>
      <c r="AQ76" s="13" t="n">
        <v>9.4</v>
      </c>
      <c r="AR76" s="13" t="n">
        <v>10</v>
      </c>
      <c r="AS76" s="13" t="n">
        <v>9.6</v>
      </c>
      <c r="AT76" s="13">
        <f>IFERROR(ROUND(AVERAGE(AP76:AS76),1),"")</f>
        <v/>
      </c>
      <c r="AU76" s="13" t="n">
        <v>7.4</v>
      </c>
      <c r="AV76" s="13" t="n">
        <v>7.6</v>
      </c>
      <c r="AW76" s="13" t="n">
        <v>7.8</v>
      </c>
      <c r="AX76" s="13" t="n">
        <v>7.4</v>
      </c>
      <c r="AY76" s="13">
        <f>IFERROR(ROUND(AVERAGE(AU76:AX76),1),"")</f>
        <v/>
      </c>
      <c r="AZ76" s="13">
        <f>ROUND(0.19*N(Q76)+0.17*N(V76)+0.17*N(AA76)+0.1*N(AF76)+0.09*N(AK76)+0.12*N(AT76)+0.16*N(AY76),1)</f>
        <v/>
      </c>
      <c r="BA76" s="13" t="inlineStr">
        <is>
          <t>1M</t>
        </is>
      </c>
      <c r="BB76" s="13" t="n">
        <v>64000</v>
      </c>
      <c r="BC76" s="13" t="inlineStr"/>
      <c r="BD76" s="13" t="inlineStr"/>
      <c r="BE76" s="13" t="inlineStr">
        <is>
          <t>medium</t>
        </is>
      </c>
      <c r="BF76" s="13" t="n">
        <v>3</v>
      </c>
      <c r="BG76" s="13" t="n">
        <v>3</v>
      </c>
      <c r="BH76" s="13" t="inlineStr">
        <is>
          <t>Ultra-budget high-volume multimodal</t>
        </is>
      </c>
      <c r="BI76" s="13" t="inlineStr">
        <is>
          <t>Depth</t>
        </is>
      </c>
      <c r="BJ76" s="15" t="inlineStr">
        <is>
          <t>M</t>
        </is>
      </c>
      <c r="BK76" s="13" t="inlineStr">
        <is>
          <t>Budget tier; family-inherited estimate (scaled from flagship); verify before HIGH-stakes routing</t>
        </is>
      </c>
      <c r="BL76" s="13" t="inlineStr">
        <is>
          <t>2026-06-07</t>
        </is>
      </c>
    </row>
    <row r="77">
      <c r="A77" s="13" t="inlineStr">
        <is>
          <t>gemini-3.1-flash-lite</t>
        </is>
      </c>
      <c r="B77" s="13" t="inlineStr">
        <is>
          <t>Gemini 3.1 Flash Lite</t>
        </is>
      </c>
      <c r="C77" s="13" t="inlineStr">
        <is>
          <t>Google</t>
        </is>
      </c>
      <c r="D77" s="13" t="inlineStr">
        <is>
          <t>Gemini 3.x</t>
        </is>
      </c>
      <c r="E77" s="13" t="inlineStr">
        <is>
          <t>3.1-flash-lite</t>
        </is>
      </c>
      <c r="F77" s="13" t="inlineStr">
        <is>
          <t>Current</t>
        </is>
      </c>
      <c r="G77" s="13" t="inlineStr">
        <is>
          <t>Budget</t>
        </is>
      </c>
      <c r="H77" s="13" t="inlineStr">
        <is>
          <t>Gemini CLI</t>
        </is>
      </c>
      <c r="I77" s="13" t="inlineStr">
        <is>
          <t>CLI</t>
        </is>
      </c>
      <c r="J77" s="13" t="inlineStr">
        <is>
          <t>Working (re-authed)</t>
        </is>
      </c>
      <c r="K77" s="13" t="inlineStr">
        <is>
          <t>subscription_included</t>
        </is>
      </c>
      <c r="L77" s="13" t="inlineStr">
        <is>
          <t>No</t>
        </is>
      </c>
      <c r="M77" s="13" t="n">
        <v>7.4</v>
      </c>
      <c r="N77" s="13" t="n">
        <v>7</v>
      </c>
      <c r="O77" s="13" t="n">
        <v>7.2</v>
      </c>
      <c r="P77" s="13" t="n">
        <v>7.4</v>
      </c>
      <c r="Q77" s="13">
        <f>IFERROR(ROUND(AVERAGE(M77:P77),1),"")</f>
        <v/>
      </c>
      <c r="R77" s="13" t="n">
        <v>7</v>
      </c>
      <c r="S77" s="13" t="n">
        <v>6.6</v>
      </c>
      <c r="T77" s="13" t="n">
        <v>6.8</v>
      </c>
      <c r="U77" s="13" t="n">
        <v>7</v>
      </c>
      <c r="V77" s="13">
        <f>IFERROR(ROUND(AVERAGE(R77:U77),1),"")</f>
        <v/>
      </c>
      <c r="W77" s="13" t="n">
        <v>7.2</v>
      </c>
      <c r="X77" s="13" t="n">
        <v>7</v>
      </c>
      <c r="Y77" s="13" t="n">
        <v>6.8</v>
      </c>
      <c r="Z77" s="13" t="n">
        <v>7.4</v>
      </c>
      <c r="AA77" s="13">
        <f>IFERROR(ROUND(AVERAGE(W77:Z77),1),"")</f>
        <v/>
      </c>
      <c r="AB77" s="13" t="n">
        <v>7.6</v>
      </c>
      <c r="AC77" s="13" t="n">
        <v>7.6</v>
      </c>
      <c r="AD77" s="13" t="n">
        <v>7.6</v>
      </c>
      <c r="AE77" s="13" t="n">
        <v>7.6</v>
      </c>
      <c r="AF77" s="13">
        <f>IFERROR(ROUND(AVERAGE(AB77:AE77),1),"")</f>
        <v/>
      </c>
      <c r="AG77" s="13" t="n">
        <v>6.8</v>
      </c>
      <c r="AH77" s="13" t="n">
        <v>6.2</v>
      </c>
      <c r="AI77" s="13" t="n">
        <v>7.2</v>
      </c>
      <c r="AJ77" s="13" t="n">
        <v>7</v>
      </c>
      <c r="AK77" s="13">
        <f>IFERROR(ROUND(AVERAGE(AG77:AJ77),1),"")</f>
        <v/>
      </c>
      <c r="AL77" s="13" t="n">
        <v>7.6</v>
      </c>
      <c r="AM77" s="13" t="n">
        <v>7.6</v>
      </c>
      <c r="AN77" s="13" t="n">
        <v>6.8</v>
      </c>
      <c r="AO77" s="13">
        <f>IFERROR(ROUND(AVERAGE(AL77:AN77),1),"")</f>
        <v/>
      </c>
      <c r="AP77" s="13" t="n">
        <v>9.4</v>
      </c>
      <c r="AQ77" s="13" t="n">
        <v>9.4</v>
      </c>
      <c r="AR77" s="13" t="n">
        <v>10</v>
      </c>
      <c r="AS77" s="13" t="n">
        <v>9.6</v>
      </c>
      <c r="AT77" s="13">
        <f>IFERROR(ROUND(AVERAGE(AP77:AS77),1),"")</f>
        <v/>
      </c>
      <c r="AU77" s="13" t="n">
        <v>7.4</v>
      </c>
      <c r="AV77" s="13" t="n">
        <v>7.6</v>
      </c>
      <c r="AW77" s="13" t="n">
        <v>7.8</v>
      </c>
      <c r="AX77" s="13" t="n">
        <v>7.4</v>
      </c>
      <c r="AY77" s="13">
        <f>IFERROR(ROUND(AVERAGE(AU77:AX77),1),"")</f>
        <v/>
      </c>
      <c r="AZ77" s="13">
        <f>ROUND(0.19*N(Q77)+0.17*N(V77)+0.17*N(AA77)+0.1*N(AF77)+0.09*N(AK77)+0.12*N(AT77)+0.16*N(AY77),1)</f>
        <v/>
      </c>
      <c r="BA77" s="13" t="inlineStr">
        <is>
          <t>1M</t>
        </is>
      </c>
      <c r="BB77" s="13" t="n">
        <v>64000</v>
      </c>
      <c r="BC77" s="13" t="inlineStr"/>
      <c r="BD77" s="13" t="inlineStr"/>
      <c r="BE77" s="13" t="inlineStr">
        <is>
          <t>medium</t>
        </is>
      </c>
      <c r="BF77" s="13" t="n">
        <v>3</v>
      </c>
      <c r="BG77" s="13" t="n">
        <v>3</v>
      </c>
      <c r="BH77" s="13" t="inlineStr">
        <is>
          <t>Ultra-budget high-volume multimodal</t>
        </is>
      </c>
      <c r="BI77" s="13" t="inlineStr">
        <is>
          <t>Depth</t>
        </is>
      </c>
      <c r="BJ77" s="15" t="inlineStr">
        <is>
          <t>M</t>
        </is>
      </c>
      <c r="BK77" s="13" t="inlineStr">
        <is>
          <t>Budget tier; family-inherited estimate (scaled from flagship); verify before HIGH-stakes routing</t>
        </is>
      </c>
      <c r="BL77" s="13" t="inlineStr">
        <is>
          <t>2026-06-07</t>
        </is>
      </c>
    </row>
    <row r="78">
      <c r="A78" s="13" t="inlineStr">
        <is>
          <t>gemini-2.5-pro</t>
        </is>
      </c>
      <c r="B78" s="13" t="inlineStr">
        <is>
          <t>Gemini 2.5 Pro</t>
        </is>
      </c>
      <c r="C78" s="13" t="inlineStr">
        <is>
          <t>Google</t>
        </is>
      </c>
      <c r="D78" s="13" t="inlineStr">
        <is>
          <t>Gemini 2.5</t>
        </is>
      </c>
      <c r="E78" s="13" t="inlineStr">
        <is>
          <t>2.5-pro</t>
        </is>
      </c>
      <c r="F78" s="13" t="inlineStr">
        <is>
          <t>Legacy (value tier)</t>
        </is>
      </c>
      <c r="G78" s="13" t="inlineStr">
        <is>
          <t>Workhorse</t>
        </is>
      </c>
      <c r="H78" s="13" t="inlineStr">
        <is>
          <t>Google Gemini API</t>
        </is>
      </c>
      <c r="I78" s="13" t="inlineStr">
        <is>
          <t>HTTP API</t>
        </is>
      </c>
      <c r="J78" s="13" t="inlineStr">
        <is>
          <t>Working (re-authed)</t>
        </is>
      </c>
      <c r="K78" s="13" t="inlineStr">
        <is>
          <t>subscription_included</t>
        </is>
      </c>
      <c r="L78" s="13" t="inlineStr">
        <is>
          <t>No</t>
        </is>
      </c>
      <c r="M78" s="13" t="n">
        <v>8.4</v>
      </c>
      <c r="N78" s="13" t="n">
        <v>8.199999999999999</v>
      </c>
      <c r="O78" s="13" t="n">
        <v>8.4</v>
      </c>
      <c r="P78" s="13" t="n">
        <v>8.6</v>
      </c>
      <c r="Q78" s="13">
        <f>IFERROR(ROUND(AVERAGE(M78:P78),1),"")</f>
        <v/>
      </c>
      <c r="R78" s="13" t="n">
        <v>8</v>
      </c>
      <c r="S78" s="13" t="n">
        <v>7.6</v>
      </c>
      <c r="T78" s="13" t="n">
        <v>7.8</v>
      </c>
      <c r="U78" s="13" t="n">
        <v>8</v>
      </c>
      <c r="V78" s="13">
        <f>IFERROR(ROUND(AVERAGE(R78:U78),1),"")</f>
        <v/>
      </c>
      <c r="W78" s="13" t="n">
        <v>8.199999999999999</v>
      </c>
      <c r="X78" s="13" t="n">
        <v>8</v>
      </c>
      <c r="Y78" s="13" t="n">
        <v>7.8</v>
      </c>
      <c r="Z78" s="13" t="n">
        <v>8.199999999999999</v>
      </c>
      <c r="AA78" s="13">
        <f>IFERROR(ROUND(AVERAGE(W78:Z78),1),"")</f>
        <v/>
      </c>
      <c r="AB78" s="13" t="n">
        <v>8.800000000000001</v>
      </c>
      <c r="AC78" s="13" t="n">
        <v>8.6</v>
      </c>
      <c r="AD78" s="13" t="n">
        <v>8.6</v>
      </c>
      <c r="AE78" s="13" t="n">
        <v>8.800000000000001</v>
      </c>
      <c r="AF78" s="13">
        <f>IFERROR(ROUND(AVERAGE(AB78:AE78),1),"")</f>
        <v/>
      </c>
      <c r="AG78" s="13" t="n">
        <v>8</v>
      </c>
      <c r="AH78" s="13" t="n">
        <v>7.2</v>
      </c>
      <c r="AI78" s="13" t="n">
        <v>8.199999999999999</v>
      </c>
      <c r="AJ78" s="13" t="n">
        <v>8.199999999999999</v>
      </c>
      <c r="AK78" s="13">
        <f>IFERROR(ROUND(AVERAGE(AG78:AJ78),1),"")</f>
        <v/>
      </c>
      <c r="AL78" s="13" t="n">
        <v>8.4</v>
      </c>
      <c r="AM78" s="13" t="n">
        <v>8.4</v>
      </c>
      <c r="AN78" s="13" t="n">
        <v>7.6</v>
      </c>
      <c r="AO78" s="13">
        <f>IFERROR(ROUND(AVERAGE(AL78:AN78),1),"")</f>
        <v/>
      </c>
      <c r="AP78" s="13" t="n">
        <v>7.5</v>
      </c>
      <c r="AQ78" s="13" t="n">
        <v>7.5</v>
      </c>
      <c r="AR78" s="13" t="n">
        <v>10</v>
      </c>
      <c r="AS78" s="13" t="n">
        <v>8</v>
      </c>
      <c r="AT78" s="13">
        <f>IFERROR(ROUND(AVERAGE(AP78:AS78),1),"")</f>
        <v/>
      </c>
      <c r="AU78" s="13" t="n">
        <v>8.199999999999999</v>
      </c>
      <c r="AV78" s="13" t="n">
        <v>8.300000000000001</v>
      </c>
      <c r="AW78" s="13" t="n">
        <v>8.4</v>
      </c>
      <c r="AX78" s="13" t="n">
        <v>8.199999999999999</v>
      </c>
      <c r="AY78" s="13">
        <f>IFERROR(ROUND(AVERAGE(AU78:AX78),1),"")</f>
        <v/>
      </c>
      <c r="AZ78" s="13">
        <f>ROUND(0.19*N(Q78)+0.17*N(V78)+0.17*N(AA78)+0.1*N(AF78)+0.09*N(AK78)+0.12*N(AT78)+0.16*N(AY78),1)</f>
        <v/>
      </c>
      <c r="BA78" s="13" t="inlineStr">
        <is>
          <t>1M</t>
        </is>
      </c>
      <c r="BB78" s="13" t="n">
        <v>64000</v>
      </c>
      <c r="BC78" s="13" t="inlineStr"/>
      <c r="BD78" s="13" t="inlineStr"/>
      <c r="BE78" s="13" t="inlineStr">
        <is>
          <t>high</t>
        </is>
      </c>
      <c r="BF78" s="13" t="n">
        <v>4</v>
      </c>
      <c r="BG78" s="13" t="n">
        <v>4</v>
      </c>
      <c r="BH78" s="13" t="inlineStr">
        <is>
          <t>Mature value tier; long LMArena leader</t>
        </is>
      </c>
      <c r="BI78" s="13" t="inlineStr"/>
      <c r="BJ78" s="14" t="inlineStr">
        <is>
          <t>H</t>
        </is>
      </c>
      <c r="BK78" s="13" t="inlineStr">
        <is>
          <t>Long-time LMArena leader; benchmark-anchored (AA Index, SWE-bench, GPQA, ARC-AGI-2, Aider, MMMU 2026-06)</t>
        </is>
      </c>
      <c r="BL78" s="13" t="inlineStr">
        <is>
          <t>2026-06-07</t>
        </is>
      </c>
    </row>
    <row r="79">
      <c r="A79" s="13" t="inlineStr">
        <is>
          <t>gemini-2.5-pro</t>
        </is>
      </c>
      <c r="B79" s="13" t="inlineStr">
        <is>
          <t>Gemini 2.5 Pro</t>
        </is>
      </c>
      <c r="C79" s="13" t="inlineStr">
        <is>
          <t>Google</t>
        </is>
      </c>
      <c r="D79" s="13" t="inlineStr">
        <is>
          <t>Gemini 2.5</t>
        </is>
      </c>
      <c r="E79" s="13" t="inlineStr">
        <is>
          <t>2.5-pro</t>
        </is>
      </c>
      <c r="F79" s="13" t="inlineStr">
        <is>
          <t>Legacy (value tier)</t>
        </is>
      </c>
      <c r="G79" s="13" t="inlineStr">
        <is>
          <t>Workhorse</t>
        </is>
      </c>
      <c r="H79" s="13" t="inlineStr">
        <is>
          <t>Gemini CLI</t>
        </is>
      </c>
      <c r="I79" s="13" t="inlineStr">
        <is>
          <t>CLI</t>
        </is>
      </c>
      <c r="J79" s="13" t="inlineStr">
        <is>
          <t>Working (re-authed)</t>
        </is>
      </c>
      <c r="K79" s="13" t="inlineStr">
        <is>
          <t>subscription_included</t>
        </is>
      </c>
      <c r="L79" s="13" t="inlineStr">
        <is>
          <t>No</t>
        </is>
      </c>
      <c r="M79" s="13" t="n">
        <v>8.4</v>
      </c>
      <c r="N79" s="13" t="n">
        <v>8.199999999999999</v>
      </c>
      <c r="O79" s="13" t="n">
        <v>8.4</v>
      </c>
      <c r="P79" s="13" t="n">
        <v>8.6</v>
      </c>
      <c r="Q79" s="13">
        <f>IFERROR(ROUND(AVERAGE(M79:P79),1),"")</f>
        <v/>
      </c>
      <c r="R79" s="13" t="n">
        <v>8</v>
      </c>
      <c r="S79" s="13" t="n">
        <v>7.6</v>
      </c>
      <c r="T79" s="13" t="n">
        <v>7.8</v>
      </c>
      <c r="U79" s="13" t="n">
        <v>8</v>
      </c>
      <c r="V79" s="13">
        <f>IFERROR(ROUND(AVERAGE(R79:U79),1),"")</f>
        <v/>
      </c>
      <c r="W79" s="13" t="n">
        <v>8.199999999999999</v>
      </c>
      <c r="X79" s="13" t="n">
        <v>8</v>
      </c>
      <c r="Y79" s="13" t="n">
        <v>7.8</v>
      </c>
      <c r="Z79" s="13" t="n">
        <v>8.199999999999999</v>
      </c>
      <c r="AA79" s="13">
        <f>IFERROR(ROUND(AVERAGE(W79:Z79),1),"")</f>
        <v/>
      </c>
      <c r="AB79" s="13" t="n">
        <v>8.800000000000001</v>
      </c>
      <c r="AC79" s="13" t="n">
        <v>8.6</v>
      </c>
      <c r="AD79" s="13" t="n">
        <v>8.6</v>
      </c>
      <c r="AE79" s="13" t="n">
        <v>8.800000000000001</v>
      </c>
      <c r="AF79" s="13">
        <f>IFERROR(ROUND(AVERAGE(AB79:AE79),1),"")</f>
        <v/>
      </c>
      <c r="AG79" s="13" t="n">
        <v>8</v>
      </c>
      <c r="AH79" s="13" t="n">
        <v>7.2</v>
      </c>
      <c r="AI79" s="13" t="n">
        <v>8.199999999999999</v>
      </c>
      <c r="AJ79" s="13" t="n">
        <v>8.199999999999999</v>
      </c>
      <c r="AK79" s="13">
        <f>IFERROR(ROUND(AVERAGE(AG79:AJ79),1),"")</f>
        <v/>
      </c>
      <c r="AL79" s="13" t="n">
        <v>8.4</v>
      </c>
      <c r="AM79" s="13" t="n">
        <v>8.4</v>
      </c>
      <c r="AN79" s="13" t="n">
        <v>7.6</v>
      </c>
      <c r="AO79" s="13">
        <f>IFERROR(ROUND(AVERAGE(AL79:AN79),1),"")</f>
        <v/>
      </c>
      <c r="AP79" s="13" t="n">
        <v>7.5</v>
      </c>
      <c r="AQ79" s="13" t="n">
        <v>7.5</v>
      </c>
      <c r="AR79" s="13" t="n">
        <v>10</v>
      </c>
      <c r="AS79" s="13" t="n">
        <v>8</v>
      </c>
      <c r="AT79" s="13">
        <f>IFERROR(ROUND(AVERAGE(AP79:AS79),1),"")</f>
        <v/>
      </c>
      <c r="AU79" s="13" t="n">
        <v>8.199999999999999</v>
      </c>
      <c r="AV79" s="13" t="n">
        <v>8.300000000000001</v>
      </c>
      <c r="AW79" s="13" t="n">
        <v>8.4</v>
      </c>
      <c r="AX79" s="13" t="n">
        <v>8.199999999999999</v>
      </c>
      <c r="AY79" s="13">
        <f>IFERROR(ROUND(AVERAGE(AU79:AX79),1),"")</f>
        <v/>
      </c>
      <c r="AZ79" s="13">
        <f>ROUND(0.19*N(Q79)+0.17*N(V79)+0.17*N(AA79)+0.1*N(AF79)+0.09*N(AK79)+0.12*N(AT79)+0.16*N(AY79),1)</f>
        <v/>
      </c>
      <c r="BA79" s="13" t="inlineStr">
        <is>
          <t>1M</t>
        </is>
      </c>
      <c r="BB79" s="13" t="n">
        <v>64000</v>
      </c>
      <c r="BC79" s="13" t="inlineStr"/>
      <c r="BD79" s="13" t="inlineStr"/>
      <c r="BE79" s="13" t="inlineStr">
        <is>
          <t>high</t>
        </is>
      </c>
      <c r="BF79" s="13" t="n">
        <v>4</v>
      </c>
      <c r="BG79" s="13" t="n">
        <v>4</v>
      </c>
      <c r="BH79" s="13" t="inlineStr">
        <is>
          <t>Mature value tier; long LMArena leader</t>
        </is>
      </c>
      <c r="BI79" s="13" t="inlineStr"/>
      <c r="BJ79" s="14" t="inlineStr">
        <is>
          <t>H</t>
        </is>
      </c>
      <c r="BK79" s="13" t="inlineStr">
        <is>
          <t>Long-time LMArena leader; benchmark-anchored (AA Index, SWE-bench, GPQA, ARC-AGI-2, Aider, MMMU 2026-06)</t>
        </is>
      </c>
      <c r="BL79" s="13" t="inlineStr">
        <is>
          <t>2026-06-07</t>
        </is>
      </c>
    </row>
    <row r="80">
      <c r="A80" s="13" t="inlineStr">
        <is>
          <t>gemini-2.5-flash</t>
        </is>
      </c>
      <c r="B80" s="13" t="inlineStr">
        <is>
          <t>Gemini 2.5 Flash</t>
        </is>
      </c>
      <c r="C80" s="13" t="inlineStr">
        <is>
          <t>Google</t>
        </is>
      </c>
      <c r="D80" s="13" t="inlineStr">
        <is>
          <t>Gemini 2.5</t>
        </is>
      </c>
      <c r="E80" s="13" t="inlineStr">
        <is>
          <t>2.5-flash</t>
        </is>
      </c>
      <c r="F80" s="13" t="inlineStr">
        <is>
          <t>Legacy</t>
        </is>
      </c>
      <c r="G80" s="13" t="inlineStr">
        <is>
          <t>Fast-Cheap</t>
        </is>
      </c>
      <c r="H80" s="13" t="inlineStr">
        <is>
          <t>Google Gemini API</t>
        </is>
      </c>
      <c r="I80" s="13" t="inlineStr">
        <is>
          <t>HTTP API</t>
        </is>
      </c>
      <c r="J80" s="13" t="inlineStr">
        <is>
          <t>Working (re-authed)</t>
        </is>
      </c>
      <c r="K80" s="13" t="inlineStr">
        <is>
          <t>subscription_included</t>
        </is>
      </c>
      <c r="L80" s="13" t="inlineStr">
        <is>
          <t>No</t>
        </is>
      </c>
      <c r="M80" s="13" t="n">
        <v>7.8</v>
      </c>
      <c r="N80" s="13" t="n">
        <v>7.4</v>
      </c>
      <c r="O80" s="13" t="n">
        <v>7.4</v>
      </c>
      <c r="P80" s="13" t="n">
        <v>7.8</v>
      </c>
      <c r="Q80" s="13">
        <f>IFERROR(ROUND(AVERAGE(M80:P80),1),"")</f>
        <v/>
      </c>
      <c r="R80" s="13" t="n">
        <v>7.4</v>
      </c>
      <c r="S80" s="13" t="n">
        <v>7</v>
      </c>
      <c r="T80" s="13" t="n">
        <v>7</v>
      </c>
      <c r="U80" s="13" t="n">
        <v>7.4</v>
      </c>
      <c r="V80" s="13">
        <f>IFERROR(ROUND(AVERAGE(R80:U80),1),"")</f>
        <v/>
      </c>
      <c r="W80" s="13" t="n">
        <v>7.6</v>
      </c>
      <c r="X80" s="13" t="n">
        <v>7.2</v>
      </c>
      <c r="Y80" s="13" t="n">
        <v>7</v>
      </c>
      <c r="Z80" s="13" t="n">
        <v>7.6</v>
      </c>
      <c r="AA80" s="13">
        <f>IFERROR(ROUND(AVERAGE(W80:Z80),1),"")</f>
        <v/>
      </c>
      <c r="AB80" s="13" t="n">
        <v>8</v>
      </c>
      <c r="AC80" s="13" t="n">
        <v>8</v>
      </c>
      <c r="AD80" s="13" t="n">
        <v>8</v>
      </c>
      <c r="AE80" s="13" t="n">
        <v>8</v>
      </c>
      <c r="AF80" s="13">
        <f>IFERROR(ROUND(AVERAGE(AB80:AE80),1),"")</f>
        <v/>
      </c>
      <c r="AG80" s="13" t="n">
        <v>7.2</v>
      </c>
      <c r="AH80" s="13" t="n">
        <v>6.6</v>
      </c>
      <c r="AI80" s="13" t="n">
        <v>7.6</v>
      </c>
      <c r="AJ80" s="13" t="n">
        <v>7.4</v>
      </c>
      <c r="AK80" s="13">
        <f>IFERROR(ROUND(AVERAGE(AG80:AJ80),1),"")</f>
        <v/>
      </c>
      <c r="AL80" s="13" t="n">
        <v>8</v>
      </c>
      <c r="AM80" s="13" t="n">
        <v>8</v>
      </c>
      <c r="AN80" s="13" t="n">
        <v>7.2</v>
      </c>
      <c r="AO80" s="13">
        <f>IFERROR(ROUND(AVERAGE(AL80:AN80),1),"")</f>
        <v/>
      </c>
      <c r="AP80" s="13" t="n">
        <v>9</v>
      </c>
      <c r="AQ80" s="13" t="n">
        <v>9</v>
      </c>
      <c r="AR80" s="13" t="n">
        <v>10</v>
      </c>
      <c r="AS80" s="13" t="n">
        <v>9.199999999999999</v>
      </c>
      <c r="AT80" s="13">
        <f>IFERROR(ROUND(AVERAGE(AP80:AS80),1),"")</f>
        <v/>
      </c>
      <c r="AU80" s="13" t="n">
        <v>7.8</v>
      </c>
      <c r="AV80" s="13" t="n">
        <v>8</v>
      </c>
      <c r="AW80" s="13" t="n">
        <v>8.199999999999999</v>
      </c>
      <c r="AX80" s="13" t="n">
        <v>7.8</v>
      </c>
      <c r="AY80" s="13">
        <f>IFERROR(ROUND(AVERAGE(AU80:AX80),1),"")</f>
        <v/>
      </c>
      <c r="AZ80" s="13">
        <f>ROUND(0.19*N(Q80)+0.17*N(V80)+0.17*N(AA80)+0.1*N(AF80)+0.09*N(AK80)+0.12*N(AT80)+0.16*N(AY80),1)</f>
        <v/>
      </c>
      <c r="BA80" s="13" t="inlineStr">
        <is>
          <t>1M</t>
        </is>
      </c>
      <c r="BB80" s="13" t="n">
        <v>64000</v>
      </c>
      <c r="BC80" s="13" t="inlineStr"/>
      <c r="BD80" s="13" t="inlineStr"/>
      <c r="BE80" s="13" t="inlineStr">
        <is>
          <t>high</t>
        </is>
      </c>
      <c r="BF80" s="13" t="n">
        <v>4</v>
      </c>
      <c r="BG80" s="13" t="n">
        <v>4</v>
      </c>
      <c r="BH80" s="13" t="inlineStr">
        <is>
          <t>Best $/perf in 2.5 gen, high-volume</t>
        </is>
      </c>
      <c r="BI80" s="13" t="inlineStr"/>
      <c r="BJ80" s="15" t="inlineStr">
        <is>
          <t>M</t>
        </is>
      </c>
      <c r="BK80" s="13" t="inlineStr">
        <is>
          <t>Value workhorse; family-inherited estimate (scaled from flagship); verify before HIGH-stakes routing</t>
        </is>
      </c>
      <c r="BL80" s="13" t="inlineStr">
        <is>
          <t>2026-06-07</t>
        </is>
      </c>
    </row>
    <row r="81">
      <c r="A81" s="13" t="inlineStr">
        <is>
          <t>gemini-2.5-flash</t>
        </is>
      </c>
      <c r="B81" s="13" t="inlineStr">
        <is>
          <t>Gemini 2.5 Flash</t>
        </is>
      </c>
      <c r="C81" s="13" t="inlineStr">
        <is>
          <t>Google</t>
        </is>
      </c>
      <c r="D81" s="13" t="inlineStr">
        <is>
          <t>Gemini 2.5</t>
        </is>
      </c>
      <c r="E81" s="13" t="inlineStr">
        <is>
          <t>2.5-flash</t>
        </is>
      </c>
      <c r="F81" s="13" t="inlineStr">
        <is>
          <t>Legacy</t>
        </is>
      </c>
      <c r="G81" s="13" t="inlineStr">
        <is>
          <t>Fast-Cheap</t>
        </is>
      </c>
      <c r="H81" s="13" t="inlineStr">
        <is>
          <t>Gemini CLI</t>
        </is>
      </c>
      <c r="I81" s="13" t="inlineStr">
        <is>
          <t>CLI</t>
        </is>
      </c>
      <c r="J81" s="13" t="inlineStr">
        <is>
          <t>Working (re-authed)</t>
        </is>
      </c>
      <c r="K81" s="13" t="inlineStr">
        <is>
          <t>subscription_included</t>
        </is>
      </c>
      <c r="L81" s="13" t="inlineStr">
        <is>
          <t>No</t>
        </is>
      </c>
      <c r="M81" s="13" t="n">
        <v>7.8</v>
      </c>
      <c r="N81" s="13" t="n">
        <v>7.4</v>
      </c>
      <c r="O81" s="13" t="n">
        <v>7.4</v>
      </c>
      <c r="P81" s="13" t="n">
        <v>7.8</v>
      </c>
      <c r="Q81" s="13">
        <f>IFERROR(ROUND(AVERAGE(M81:P81),1),"")</f>
        <v/>
      </c>
      <c r="R81" s="13" t="n">
        <v>7.4</v>
      </c>
      <c r="S81" s="13" t="n">
        <v>7</v>
      </c>
      <c r="T81" s="13" t="n">
        <v>7</v>
      </c>
      <c r="U81" s="13" t="n">
        <v>7.4</v>
      </c>
      <c r="V81" s="13">
        <f>IFERROR(ROUND(AVERAGE(R81:U81),1),"")</f>
        <v/>
      </c>
      <c r="W81" s="13" t="n">
        <v>7.6</v>
      </c>
      <c r="X81" s="13" t="n">
        <v>7.2</v>
      </c>
      <c r="Y81" s="13" t="n">
        <v>7</v>
      </c>
      <c r="Z81" s="13" t="n">
        <v>7.6</v>
      </c>
      <c r="AA81" s="13">
        <f>IFERROR(ROUND(AVERAGE(W81:Z81),1),"")</f>
        <v/>
      </c>
      <c r="AB81" s="13" t="n">
        <v>8</v>
      </c>
      <c r="AC81" s="13" t="n">
        <v>8</v>
      </c>
      <c r="AD81" s="13" t="n">
        <v>8</v>
      </c>
      <c r="AE81" s="13" t="n">
        <v>8</v>
      </c>
      <c r="AF81" s="13">
        <f>IFERROR(ROUND(AVERAGE(AB81:AE81),1),"")</f>
        <v/>
      </c>
      <c r="AG81" s="13" t="n">
        <v>7.2</v>
      </c>
      <c r="AH81" s="13" t="n">
        <v>6.6</v>
      </c>
      <c r="AI81" s="13" t="n">
        <v>7.6</v>
      </c>
      <c r="AJ81" s="13" t="n">
        <v>7.4</v>
      </c>
      <c r="AK81" s="13">
        <f>IFERROR(ROUND(AVERAGE(AG81:AJ81),1),"")</f>
        <v/>
      </c>
      <c r="AL81" s="13" t="n">
        <v>8</v>
      </c>
      <c r="AM81" s="13" t="n">
        <v>8</v>
      </c>
      <c r="AN81" s="13" t="n">
        <v>7.2</v>
      </c>
      <c r="AO81" s="13">
        <f>IFERROR(ROUND(AVERAGE(AL81:AN81),1),"")</f>
        <v/>
      </c>
      <c r="AP81" s="13" t="n">
        <v>9</v>
      </c>
      <c r="AQ81" s="13" t="n">
        <v>9</v>
      </c>
      <c r="AR81" s="13" t="n">
        <v>10</v>
      </c>
      <c r="AS81" s="13" t="n">
        <v>9.199999999999999</v>
      </c>
      <c r="AT81" s="13">
        <f>IFERROR(ROUND(AVERAGE(AP81:AS81),1),"")</f>
        <v/>
      </c>
      <c r="AU81" s="13" t="n">
        <v>7.8</v>
      </c>
      <c r="AV81" s="13" t="n">
        <v>8</v>
      </c>
      <c r="AW81" s="13" t="n">
        <v>8.199999999999999</v>
      </c>
      <c r="AX81" s="13" t="n">
        <v>7.8</v>
      </c>
      <c r="AY81" s="13">
        <f>IFERROR(ROUND(AVERAGE(AU81:AX81),1),"")</f>
        <v/>
      </c>
      <c r="AZ81" s="13">
        <f>ROUND(0.19*N(Q81)+0.17*N(V81)+0.17*N(AA81)+0.1*N(AF81)+0.09*N(AK81)+0.12*N(AT81)+0.16*N(AY81),1)</f>
        <v/>
      </c>
      <c r="BA81" s="13" t="inlineStr">
        <is>
          <t>1M</t>
        </is>
      </c>
      <c r="BB81" s="13" t="n">
        <v>64000</v>
      </c>
      <c r="BC81" s="13" t="inlineStr"/>
      <c r="BD81" s="13" t="inlineStr"/>
      <c r="BE81" s="13" t="inlineStr">
        <is>
          <t>high</t>
        </is>
      </c>
      <c r="BF81" s="13" t="n">
        <v>4</v>
      </c>
      <c r="BG81" s="13" t="n">
        <v>4</v>
      </c>
      <c r="BH81" s="13" t="inlineStr">
        <is>
          <t>Best $/perf in 2.5 gen, high-volume</t>
        </is>
      </c>
      <c r="BI81" s="13" t="inlineStr"/>
      <c r="BJ81" s="15" t="inlineStr">
        <is>
          <t>M</t>
        </is>
      </c>
      <c r="BK81" s="13" t="inlineStr">
        <is>
          <t>Value workhorse; family-inherited estimate (scaled from flagship); verify before HIGH-stakes routing</t>
        </is>
      </c>
      <c r="BL81" s="13" t="inlineStr">
        <is>
          <t>2026-06-07</t>
        </is>
      </c>
    </row>
    <row r="82">
      <c r="A82" s="13" t="inlineStr">
        <is>
          <t>gemini-2.5-flash-lite</t>
        </is>
      </c>
      <c r="B82" s="13" t="inlineStr">
        <is>
          <t>Gemini 2.5 Flash Lite</t>
        </is>
      </c>
      <c r="C82" s="13" t="inlineStr">
        <is>
          <t>Google</t>
        </is>
      </c>
      <c r="D82" s="13" t="inlineStr">
        <is>
          <t>Gemini 2.5</t>
        </is>
      </c>
      <c r="E82" s="13" t="inlineStr">
        <is>
          <t>2.5-flash-lite</t>
        </is>
      </c>
      <c r="F82" s="13" t="inlineStr">
        <is>
          <t>Legacy</t>
        </is>
      </c>
      <c r="G82" s="13" t="inlineStr">
        <is>
          <t>Budget</t>
        </is>
      </c>
      <c r="H82" s="13" t="inlineStr">
        <is>
          <t>Google Gemini API</t>
        </is>
      </c>
      <c r="I82" s="13" t="inlineStr">
        <is>
          <t>HTTP API</t>
        </is>
      </c>
      <c r="J82" s="13" t="inlineStr">
        <is>
          <t>Working (re-authed)</t>
        </is>
      </c>
      <c r="K82" s="13" t="inlineStr">
        <is>
          <t>subscription_included</t>
        </is>
      </c>
      <c r="L82" s="13" t="inlineStr">
        <is>
          <t>No</t>
        </is>
      </c>
      <c r="M82" s="13" t="n">
        <v>7</v>
      </c>
      <c r="N82" s="13" t="n">
        <v>6.6</v>
      </c>
      <c r="O82" s="13" t="n">
        <v>6.6</v>
      </c>
      <c r="P82" s="13" t="n">
        <v>7</v>
      </c>
      <c r="Q82" s="13">
        <f>IFERROR(ROUND(AVERAGE(M82:P82),1),"")</f>
        <v/>
      </c>
      <c r="R82" s="13" t="n">
        <v>6.6</v>
      </c>
      <c r="S82" s="13" t="n">
        <v>6.2</v>
      </c>
      <c r="T82" s="13" t="n">
        <v>6.4</v>
      </c>
      <c r="U82" s="13" t="n">
        <v>6.6</v>
      </c>
      <c r="V82" s="13">
        <f>IFERROR(ROUND(AVERAGE(R82:U82),1),"")</f>
        <v/>
      </c>
      <c r="W82" s="13" t="n">
        <v>6.8</v>
      </c>
      <c r="X82" s="13" t="n">
        <v>6.6</v>
      </c>
      <c r="Y82" s="13" t="n">
        <v>6.4</v>
      </c>
      <c r="Z82" s="13" t="n">
        <v>7</v>
      </c>
      <c r="AA82" s="13">
        <f>IFERROR(ROUND(AVERAGE(W82:Z82),1),"")</f>
        <v/>
      </c>
      <c r="AB82" s="13" t="n">
        <v>7.2</v>
      </c>
      <c r="AC82" s="13" t="n">
        <v>7.2</v>
      </c>
      <c r="AD82" s="13" t="n">
        <v>7.2</v>
      </c>
      <c r="AE82" s="13" t="n">
        <v>7.2</v>
      </c>
      <c r="AF82" s="13">
        <f>IFERROR(ROUND(AVERAGE(AB82:AE82),1),"")</f>
        <v/>
      </c>
      <c r="AG82" s="13" t="n">
        <v>6.4</v>
      </c>
      <c r="AH82" s="13" t="n">
        <v>5.8</v>
      </c>
      <c r="AI82" s="13" t="n">
        <v>6.8</v>
      </c>
      <c r="AJ82" s="13" t="n">
        <v>6.6</v>
      </c>
      <c r="AK82" s="13">
        <f>IFERROR(ROUND(AVERAGE(AG82:AJ82),1),"")</f>
        <v/>
      </c>
      <c r="AL82" s="13" t="n">
        <v>7.4</v>
      </c>
      <c r="AM82" s="13" t="n">
        <v>7.4</v>
      </c>
      <c r="AN82" s="13" t="n">
        <v>6.6</v>
      </c>
      <c r="AO82" s="13">
        <f>IFERROR(ROUND(AVERAGE(AL82:AN82),1),"")</f>
        <v/>
      </c>
      <c r="AP82" s="13" t="n">
        <v>9.4</v>
      </c>
      <c r="AQ82" s="13" t="n">
        <v>9.4</v>
      </c>
      <c r="AR82" s="13" t="n">
        <v>10</v>
      </c>
      <c r="AS82" s="13" t="n">
        <v>9.6</v>
      </c>
      <c r="AT82" s="13">
        <f>IFERROR(ROUND(AVERAGE(AP82:AS82),1),"")</f>
        <v/>
      </c>
      <c r="AU82" s="13" t="n">
        <v>7.2</v>
      </c>
      <c r="AV82" s="13" t="n">
        <v>7.4</v>
      </c>
      <c r="AW82" s="13" t="n">
        <v>7.6</v>
      </c>
      <c r="AX82" s="13" t="n">
        <v>7.2</v>
      </c>
      <c r="AY82" s="13">
        <f>IFERROR(ROUND(AVERAGE(AU82:AX82),1),"")</f>
        <v/>
      </c>
      <c r="AZ82" s="13">
        <f>ROUND(0.19*N(Q82)+0.17*N(V82)+0.17*N(AA82)+0.1*N(AF82)+0.09*N(AK82)+0.12*N(AT82)+0.16*N(AY82),1)</f>
        <v/>
      </c>
      <c r="BA82" s="13" t="inlineStr">
        <is>
          <t>1M</t>
        </is>
      </c>
      <c r="BB82" s="13" t="n">
        <v>64000</v>
      </c>
      <c r="BC82" s="13" t="inlineStr"/>
      <c r="BD82" s="13" t="inlineStr"/>
      <c r="BE82" s="13" t="inlineStr">
        <is>
          <t>medium</t>
        </is>
      </c>
      <c r="BF82" s="13" t="n">
        <v>3</v>
      </c>
      <c r="BG82" s="13" t="n">
        <v>3</v>
      </c>
      <c r="BH82" s="13" t="inlineStr">
        <is>
          <t>Ultra-budget high-volume</t>
        </is>
      </c>
      <c r="BI82" s="13" t="inlineStr">
        <is>
          <t>Depth</t>
        </is>
      </c>
      <c r="BJ82" s="15" t="inlineStr">
        <is>
          <t>M</t>
        </is>
      </c>
      <c r="BK82" s="13" t="inlineStr">
        <is>
          <t>Value tier; family-inherited estimate (scaled from flagship); verify before HIGH-stakes routing</t>
        </is>
      </c>
      <c r="BL82" s="13" t="inlineStr">
        <is>
          <t>2026-06-07</t>
        </is>
      </c>
    </row>
    <row r="83">
      <c r="A83" s="13" t="inlineStr">
        <is>
          <t>gemini-2.5-flash-lite</t>
        </is>
      </c>
      <c r="B83" s="13" t="inlineStr">
        <is>
          <t>Gemini 2.5 Flash Lite</t>
        </is>
      </c>
      <c r="C83" s="13" t="inlineStr">
        <is>
          <t>Google</t>
        </is>
      </c>
      <c r="D83" s="13" t="inlineStr">
        <is>
          <t>Gemini 2.5</t>
        </is>
      </c>
      <c r="E83" s="13" t="inlineStr">
        <is>
          <t>2.5-flash-lite</t>
        </is>
      </c>
      <c r="F83" s="13" t="inlineStr">
        <is>
          <t>Legacy</t>
        </is>
      </c>
      <c r="G83" s="13" t="inlineStr">
        <is>
          <t>Budget</t>
        </is>
      </c>
      <c r="H83" s="13" t="inlineStr">
        <is>
          <t>Gemini CLI</t>
        </is>
      </c>
      <c r="I83" s="13" t="inlineStr">
        <is>
          <t>CLI</t>
        </is>
      </c>
      <c r="J83" s="13" t="inlineStr">
        <is>
          <t>Working (re-authed)</t>
        </is>
      </c>
      <c r="K83" s="13" t="inlineStr">
        <is>
          <t>subscription_included</t>
        </is>
      </c>
      <c r="L83" s="13" t="inlineStr">
        <is>
          <t>No</t>
        </is>
      </c>
      <c r="M83" s="13" t="n">
        <v>7</v>
      </c>
      <c r="N83" s="13" t="n">
        <v>6.6</v>
      </c>
      <c r="O83" s="13" t="n">
        <v>6.6</v>
      </c>
      <c r="P83" s="13" t="n">
        <v>7</v>
      </c>
      <c r="Q83" s="13">
        <f>IFERROR(ROUND(AVERAGE(M83:P83),1),"")</f>
        <v/>
      </c>
      <c r="R83" s="13" t="n">
        <v>6.6</v>
      </c>
      <c r="S83" s="13" t="n">
        <v>6.2</v>
      </c>
      <c r="T83" s="13" t="n">
        <v>6.4</v>
      </c>
      <c r="U83" s="13" t="n">
        <v>6.6</v>
      </c>
      <c r="V83" s="13">
        <f>IFERROR(ROUND(AVERAGE(R83:U83),1),"")</f>
        <v/>
      </c>
      <c r="W83" s="13" t="n">
        <v>6.8</v>
      </c>
      <c r="X83" s="13" t="n">
        <v>6.6</v>
      </c>
      <c r="Y83" s="13" t="n">
        <v>6.4</v>
      </c>
      <c r="Z83" s="13" t="n">
        <v>7</v>
      </c>
      <c r="AA83" s="13">
        <f>IFERROR(ROUND(AVERAGE(W83:Z83),1),"")</f>
        <v/>
      </c>
      <c r="AB83" s="13" t="n">
        <v>7.2</v>
      </c>
      <c r="AC83" s="13" t="n">
        <v>7.2</v>
      </c>
      <c r="AD83" s="13" t="n">
        <v>7.2</v>
      </c>
      <c r="AE83" s="13" t="n">
        <v>7.2</v>
      </c>
      <c r="AF83" s="13">
        <f>IFERROR(ROUND(AVERAGE(AB83:AE83),1),"")</f>
        <v/>
      </c>
      <c r="AG83" s="13" t="n">
        <v>6.4</v>
      </c>
      <c r="AH83" s="13" t="n">
        <v>5.8</v>
      </c>
      <c r="AI83" s="13" t="n">
        <v>6.8</v>
      </c>
      <c r="AJ83" s="13" t="n">
        <v>6.6</v>
      </c>
      <c r="AK83" s="13">
        <f>IFERROR(ROUND(AVERAGE(AG83:AJ83),1),"")</f>
        <v/>
      </c>
      <c r="AL83" s="13" t="n">
        <v>7.4</v>
      </c>
      <c r="AM83" s="13" t="n">
        <v>7.4</v>
      </c>
      <c r="AN83" s="13" t="n">
        <v>6.6</v>
      </c>
      <c r="AO83" s="13">
        <f>IFERROR(ROUND(AVERAGE(AL83:AN83),1),"")</f>
        <v/>
      </c>
      <c r="AP83" s="13" t="n">
        <v>9.4</v>
      </c>
      <c r="AQ83" s="13" t="n">
        <v>9.4</v>
      </c>
      <c r="AR83" s="13" t="n">
        <v>10</v>
      </c>
      <c r="AS83" s="13" t="n">
        <v>9.6</v>
      </c>
      <c r="AT83" s="13">
        <f>IFERROR(ROUND(AVERAGE(AP83:AS83),1),"")</f>
        <v/>
      </c>
      <c r="AU83" s="13" t="n">
        <v>7.2</v>
      </c>
      <c r="AV83" s="13" t="n">
        <v>7.4</v>
      </c>
      <c r="AW83" s="13" t="n">
        <v>7.6</v>
      </c>
      <c r="AX83" s="13" t="n">
        <v>7.2</v>
      </c>
      <c r="AY83" s="13">
        <f>IFERROR(ROUND(AVERAGE(AU83:AX83),1),"")</f>
        <v/>
      </c>
      <c r="AZ83" s="13">
        <f>ROUND(0.19*N(Q83)+0.17*N(V83)+0.17*N(AA83)+0.1*N(AF83)+0.09*N(AK83)+0.12*N(AT83)+0.16*N(AY83),1)</f>
        <v/>
      </c>
      <c r="BA83" s="13" t="inlineStr">
        <is>
          <t>1M</t>
        </is>
      </c>
      <c r="BB83" s="13" t="n">
        <v>64000</v>
      </c>
      <c r="BC83" s="13" t="inlineStr"/>
      <c r="BD83" s="13" t="inlineStr"/>
      <c r="BE83" s="13" t="inlineStr">
        <is>
          <t>medium</t>
        </is>
      </c>
      <c r="BF83" s="13" t="n">
        <v>3</v>
      </c>
      <c r="BG83" s="13" t="n">
        <v>3</v>
      </c>
      <c r="BH83" s="13" t="inlineStr">
        <is>
          <t>Ultra-budget high-volume</t>
        </is>
      </c>
      <c r="BI83" s="13" t="inlineStr">
        <is>
          <t>Depth</t>
        </is>
      </c>
      <c r="BJ83" s="15" t="inlineStr">
        <is>
          <t>M</t>
        </is>
      </c>
      <c r="BK83" s="13" t="inlineStr">
        <is>
          <t>Value tier; family-inherited estimate (scaled from flagship); verify before HIGH-stakes routing</t>
        </is>
      </c>
      <c r="BL83" s="13" t="inlineStr">
        <is>
          <t>2026-06-07</t>
        </is>
      </c>
    </row>
    <row r="84">
      <c r="A84" s="13" t="inlineStr">
        <is>
          <t>grok-4.3</t>
        </is>
      </c>
      <c r="B84" s="13" t="inlineStr">
        <is>
          <t>Grok 4.3</t>
        </is>
      </c>
      <c r="C84" s="13" t="inlineStr">
        <is>
          <t>xAI</t>
        </is>
      </c>
      <c r="D84" s="13" t="inlineStr">
        <is>
          <t>Grok 4.x</t>
        </is>
      </c>
      <c r="E84" s="13" t="inlineStr">
        <is>
          <t>4.3</t>
        </is>
      </c>
      <c r="F84" s="13" t="inlineStr">
        <is>
          <t>Current</t>
        </is>
      </c>
      <c r="G84" s="13" t="inlineStr">
        <is>
          <t>Flagship Reasoner</t>
        </is>
      </c>
      <c r="H84" s="13" t="inlineStr">
        <is>
          <t>xAI API</t>
        </is>
      </c>
      <c r="I84" s="13" t="inlineStr">
        <is>
          <t>HTTP API</t>
        </is>
      </c>
      <c r="J84" s="13" t="inlineStr">
        <is>
          <t>Not-keyed</t>
        </is>
      </c>
      <c r="K84" s="13" t="inlineStr">
        <is>
          <t>metered (not configured)</t>
        </is>
      </c>
      <c r="L84" s="13" t="inlineStr">
        <is>
          <t>No</t>
        </is>
      </c>
      <c r="M84" s="13" t="n">
        <v>9.1</v>
      </c>
      <c r="N84" s="13" t="n">
        <v>8.800000000000001</v>
      </c>
      <c r="O84" s="13" t="n">
        <v>8.800000000000001</v>
      </c>
      <c r="P84" s="13" t="n">
        <v>8.6</v>
      </c>
      <c r="Q84" s="13">
        <f>IFERROR(ROUND(AVERAGE(M84:P84),1),"")</f>
        <v/>
      </c>
      <c r="R84" s="13" t="n">
        <v>8.4</v>
      </c>
      <c r="S84" s="13" t="n">
        <v>8</v>
      </c>
      <c r="T84" s="13" t="n">
        <v>8</v>
      </c>
      <c r="U84" s="13" t="n">
        <v>8.4</v>
      </c>
      <c r="V84" s="13">
        <f>IFERROR(ROUND(AVERAGE(R84:U84),1),"")</f>
        <v/>
      </c>
      <c r="W84" s="13" t="n">
        <v>8.4</v>
      </c>
      <c r="X84" s="13" t="n">
        <v>8.4</v>
      </c>
      <c r="Y84" s="13" t="n">
        <v>8.199999999999999</v>
      </c>
      <c r="Z84" s="13" t="n">
        <v>8.4</v>
      </c>
      <c r="AA84" s="13">
        <f>IFERROR(ROUND(AVERAGE(W84:Z84),1),"")</f>
        <v/>
      </c>
      <c r="AB84" s="13" t="n">
        <v>8.4</v>
      </c>
      <c r="AC84" s="13" t="n">
        <v>8.4</v>
      </c>
      <c r="AD84" s="13" t="n">
        <v>8.199999999999999</v>
      </c>
      <c r="AE84" s="13" t="n">
        <v>8.199999999999999</v>
      </c>
      <c r="AF84" s="13">
        <f>IFERROR(ROUND(AVERAGE(AB84:AE84),1),"")</f>
        <v/>
      </c>
      <c r="AG84" s="13" t="n">
        <v>8.199999999999999</v>
      </c>
      <c r="AH84" s="13" t="n">
        <v>7.6</v>
      </c>
      <c r="AI84" s="13" t="n">
        <v>8.199999999999999</v>
      </c>
      <c r="AJ84" s="13" t="n">
        <v>8.4</v>
      </c>
      <c r="AK84" s="13">
        <f>IFERROR(ROUND(AVERAGE(AG84:AJ84),1),"")</f>
        <v/>
      </c>
      <c r="AL84" s="13" t="n">
        <v>8.199999999999999</v>
      </c>
      <c r="AM84" s="13" t="n">
        <v>8</v>
      </c>
      <c r="AN84" s="13" t="n">
        <v>7.5</v>
      </c>
      <c r="AO84" s="13">
        <f>IFERROR(ROUND(AVERAGE(AL84:AN84),1),"")</f>
        <v/>
      </c>
      <c r="AP84" s="13" t="n">
        <v>6.5</v>
      </c>
      <c r="AQ84" s="13" t="n">
        <v>6.5</v>
      </c>
      <c r="AR84" s="13" t="n">
        <v>10</v>
      </c>
      <c r="AS84" s="13" t="n">
        <v>4</v>
      </c>
      <c r="AT84" s="13">
        <f>IFERROR(ROUND(AVERAGE(AP84:AS84),1),"")</f>
        <v/>
      </c>
      <c r="AU84" s="13" t="n">
        <v>8</v>
      </c>
      <c r="AV84" s="13" t="n">
        <v>8</v>
      </c>
      <c r="AW84" s="13" t="n">
        <v>7.8</v>
      </c>
      <c r="AX84" s="13" t="n">
        <v>7.8</v>
      </c>
      <c r="AY84" s="13">
        <f>IFERROR(ROUND(AVERAGE(AU84:AX84),1),"")</f>
        <v/>
      </c>
      <c r="AZ84" s="13">
        <f>ROUND(0.19*N(Q84)+0.17*N(V84)+0.17*N(AA84)+0.1*N(AF84)+0.09*N(AK84)+0.12*N(AT84)+0.16*N(AY84),1)</f>
        <v/>
      </c>
      <c r="BA84" s="13" t="inlineStr">
        <is>
          <t>1M</t>
        </is>
      </c>
      <c r="BB84" s="13" t="n"/>
      <c r="BC84" s="13" t="inlineStr"/>
      <c r="BD84" s="13" t="inlineStr"/>
      <c r="BE84" s="13" t="inlineStr">
        <is>
          <t>high</t>
        </is>
      </c>
      <c r="BF84" s="13" t="n">
        <v>5</v>
      </c>
      <c r="BG84" s="13" t="n">
        <v>4</v>
      </c>
      <c r="BH84" s="13" t="inlineStr">
        <is>
          <t>Reasoning-first flagship, native video input</t>
        </is>
      </c>
      <c r="BI84" s="13" t="inlineStr">
        <is>
          <t>Cost-sensitive ($300/mo tier)</t>
        </is>
      </c>
      <c r="BJ84" s="15" t="inlineStr">
        <is>
          <t>M</t>
        </is>
      </c>
      <c r="BK84" s="13" t="inlineStr">
        <is>
          <t>Released 2026-04-17 ($300/mo); less independent benchmarking; MEDIUM</t>
        </is>
      </c>
      <c r="BL84" s="13" t="inlineStr">
        <is>
          <t>2026-06-07</t>
        </is>
      </c>
    </row>
    <row r="85">
      <c r="A85" s="13" t="inlineStr">
        <is>
          <t>grok-4.3</t>
        </is>
      </c>
      <c r="B85" s="13" t="inlineStr">
        <is>
          <t>Grok 4.3</t>
        </is>
      </c>
      <c r="C85" s="13" t="inlineStr">
        <is>
          <t>xAI</t>
        </is>
      </c>
      <c r="D85" s="13" t="inlineStr">
        <is>
          <t>Grok 4.x</t>
        </is>
      </c>
      <c r="E85" s="13" t="inlineStr">
        <is>
          <t>4.3</t>
        </is>
      </c>
      <c r="F85" s="13" t="inlineStr">
        <is>
          <t>Current</t>
        </is>
      </c>
      <c r="G85" s="13" t="inlineStr">
        <is>
          <t>Flagship Reasoner</t>
        </is>
      </c>
      <c r="H85" s="13" t="inlineStr">
        <is>
          <t>OpenRouter</t>
        </is>
      </c>
      <c r="I85" s="13" t="inlineStr">
        <is>
          <t>Aggregator</t>
        </is>
      </c>
      <c r="J85" s="13" t="inlineStr">
        <is>
          <t>Not-keyed</t>
        </is>
      </c>
      <c r="K85" s="13" t="inlineStr">
        <is>
          <t>metered (not configured)</t>
        </is>
      </c>
      <c r="L85" s="13" t="inlineStr">
        <is>
          <t>No</t>
        </is>
      </c>
      <c r="M85" s="13" t="n">
        <v>9.1</v>
      </c>
      <c r="N85" s="13" t="n">
        <v>8.800000000000001</v>
      </c>
      <c r="O85" s="13" t="n">
        <v>8.800000000000001</v>
      </c>
      <c r="P85" s="13" t="n">
        <v>8.6</v>
      </c>
      <c r="Q85" s="13">
        <f>IFERROR(ROUND(AVERAGE(M85:P85),1),"")</f>
        <v/>
      </c>
      <c r="R85" s="13" t="n">
        <v>8.4</v>
      </c>
      <c r="S85" s="13" t="n">
        <v>8</v>
      </c>
      <c r="T85" s="13" t="n">
        <v>8</v>
      </c>
      <c r="U85" s="13" t="n">
        <v>8.4</v>
      </c>
      <c r="V85" s="13">
        <f>IFERROR(ROUND(AVERAGE(R85:U85),1),"")</f>
        <v/>
      </c>
      <c r="W85" s="13" t="n">
        <v>8.4</v>
      </c>
      <c r="X85" s="13" t="n">
        <v>8.4</v>
      </c>
      <c r="Y85" s="13" t="n">
        <v>8.199999999999999</v>
      </c>
      <c r="Z85" s="13" t="n">
        <v>8.4</v>
      </c>
      <c r="AA85" s="13">
        <f>IFERROR(ROUND(AVERAGE(W85:Z85),1),"")</f>
        <v/>
      </c>
      <c r="AB85" s="13" t="n">
        <v>8.4</v>
      </c>
      <c r="AC85" s="13" t="n">
        <v>8.4</v>
      </c>
      <c r="AD85" s="13" t="n">
        <v>8.199999999999999</v>
      </c>
      <c r="AE85" s="13" t="n">
        <v>8.199999999999999</v>
      </c>
      <c r="AF85" s="13">
        <f>IFERROR(ROUND(AVERAGE(AB85:AE85),1),"")</f>
        <v/>
      </c>
      <c r="AG85" s="13" t="n">
        <v>8.199999999999999</v>
      </c>
      <c r="AH85" s="13" t="n">
        <v>7.6</v>
      </c>
      <c r="AI85" s="13" t="n">
        <v>8.199999999999999</v>
      </c>
      <c r="AJ85" s="13" t="n">
        <v>8.4</v>
      </c>
      <c r="AK85" s="13">
        <f>IFERROR(ROUND(AVERAGE(AG85:AJ85),1),"")</f>
        <v/>
      </c>
      <c r="AL85" s="13" t="n">
        <v>8.199999999999999</v>
      </c>
      <c r="AM85" s="13" t="n">
        <v>8</v>
      </c>
      <c r="AN85" s="13" t="n">
        <v>7.5</v>
      </c>
      <c r="AO85" s="13">
        <f>IFERROR(ROUND(AVERAGE(AL85:AN85),1),"")</f>
        <v/>
      </c>
      <c r="AP85" s="13" t="n">
        <v>6.5</v>
      </c>
      <c r="AQ85" s="13" t="n">
        <v>6.5</v>
      </c>
      <c r="AR85" s="13" t="n">
        <v>10</v>
      </c>
      <c r="AS85" s="13" t="n">
        <v>4</v>
      </c>
      <c r="AT85" s="13">
        <f>IFERROR(ROUND(AVERAGE(AP85:AS85),1),"")</f>
        <v/>
      </c>
      <c r="AU85" s="13" t="n">
        <v>8</v>
      </c>
      <c r="AV85" s="13" t="n">
        <v>8</v>
      </c>
      <c r="AW85" s="13" t="n">
        <v>7.8</v>
      </c>
      <c r="AX85" s="13" t="n">
        <v>7.8</v>
      </c>
      <c r="AY85" s="13">
        <f>IFERROR(ROUND(AVERAGE(AU85:AX85),1),"")</f>
        <v/>
      </c>
      <c r="AZ85" s="13">
        <f>ROUND(0.19*N(Q85)+0.17*N(V85)+0.17*N(AA85)+0.1*N(AF85)+0.09*N(AK85)+0.12*N(AT85)+0.16*N(AY85),1)</f>
        <v/>
      </c>
      <c r="BA85" s="13" t="inlineStr">
        <is>
          <t>1M</t>
        </is>
      </c>
      <c r="BB85" s="13" t="n"/>
      <c r="BC85" s="13" t="inlineStr"/>
      <c r="BD85" s="13" t="inlineStr"/>
      <c r="BE85" s="13" t="inlineStr">
        <is>
          <t>high</t>
        </is>
      </c>
      <c r="BF85" s="13" t="n">
        <v>5</v>
      </c>
      <c r="BG85" s="13" t="n">
        <v>4</v>
      </c>
      <c r="BH85" s="13" t="inlineStr">
        <is>
          <t>Reasoning-first flagship, native video input</t>
        </is>
      </c>
      <c r="BI85" s="13" t="inlineStr">
        <is>
          <t>Cost-sensitive ($300/mo tier)</t>
        </is>
      </c>
      <c r="BJ85" s="15" t="inlineStr">
        <is>
          <t>M</t>
        </is>
      </c>
      <c r="BK85" s="13" t="inlineStr">
        <is>
          <t>Released 2026-04-17 ($300/mo); less independent benchmarking; MEDIUM</t>
        </is>
      </c>
      <c r="BL85" s="13" t="inlineStr">
        <is>
          <t>2026-06-07</t>
        </is>
      </c>
    </row>
    <row r="86">
      <c r="A86" s="13" t="inlineStr">
        <is>
          <t>grok-build-0.1</t>
        </is>
      </c>
      <c r="B86" s="13" t="inlineStr">
        <is>
          <t>Grok Build 0.1</t>
        </is>
      </c>
      <c r="C86" s="13" t="inlineStr">
        <is>
          <t>xAI</t>
        </is>
      </c>
      <c r="D86" s="13" t="inlineStr">
        <is>
          <t>Grok (specialized)</t>
        </is>
      </c>
      <c r="E86" s="13" t="inlineStr">
        <is>
          <t>build-0.1</t>
        </is>
      </c>
      <c r="F86" s="13" t="inlineStr">
        <is>
          <t>Current (beta)</t>
        </is>
      </c>
      <c r="G86" s="13" t="inlineStr">
        <is>
          <t>Coder Specialist</t>
        </is>
      </c>
      <c r="H86" s="13" t="inlineStr">
        <is>
          <t>xAI API</t>
        </is>
      </c>
      <c r="I86" s="13" t="inlineStr">
        <is>
          <t>HTTP API</t>
        </is>
      </c>
      <c r="J86" s="13" t="inlineStr">
        <is>
          <t>Not-keyed</t>
        </is>
      </c>
      <c r="K86" s="13" t="inlineStr">
        <is>
          <t>metered (not configured)</t>
        </is>
      </c>
      <c r="L86" s="13" t="inlineStr">
        <is>
          <t>No</t>
        </is>
      </c>
      <c r="M86" s="13" t="n">
        <v>8.4</v>
      </c>
      <c r="N86" s="13" t="n">
        <v>8</v>
      </c>
      <c r="O86" s="13" t="n">
        <v>8</v>
      </c>
      <c r="P86" s="13" t="n">
        <v>8.199999999999999</v>
      </c>
      <c r="Q86" s="13">
        <f>IFERROR(ROUND(AVERAGE(M86:P86),1),"")</f>
        <v/>
      </c>
      <c r="R86" s="13" t="n">
        <v>8.6</v>
      </c>
      <c r="S86" s="13" t="n">
        <v>8.4</v>
      </c>
      <c r="T86" s="13" t="n">
        <v>8.199999999999999</v>
      </c>
      <c r="U86" s="13" t="n">
        <v>8.6</v>
      </c>
      <c r="V86" s="13">
        <f>IFERROR(ROUND(AVERAGE(R86:U86),1),"")</f>
        <v/>
      </c>
      <c r="W86" s="13" t="n">
        <v>8.6</v>
      </c>
      <c r="X86" s="13" t="n">
        <v>8.4</v>
      </c>
      <c r="Y86" s="13" t="n">
        <v>8.199999999999999</v>
      </c>
      <c r="Z86" s="13" t="n">
        <v>8.4</v>
      </c>
      <c r="AA86" s="13">
        <f>IFERROR(ROUND(AVERAGE(W86:Z86),1),"")</f>
        <v/>
      </c>
      <c r="AB86" s="13" t="n">
        <v>7.6</v>
      </c>
      <c r="AC86" s="13" t="n">
        <v>7.8</v>
      </c>
      <c r="AD86" s="13" t="n">
        <v>7.6</v>
      </c>
      <c r="AE86" s="13" t="n">
        <v>7.4</v>
      </c>
      <c r="AF86" s="13">
        <f>IFERROR(ROUND(AVERAGE(AB86:AE86),1),"")</f>
        <v/>
      </c>
      <c r="AG86" s="13" t="n">
        <v>7.8</v>
      </c>
      <c r="AH86" s="13" t="n">
        <v>7</v>
      </c>
      <c r="AI86" s="13" t="n">
        <v>8.199999999999999</v>
      </c>
      <c r="AJ86" s="13" t="n">
        <v>8.199999999999999</v>
      </c>
      <c r="AK86" s="13">
        <f>IFERROR(ROUND(AVERAGE(AG86:AJ86),1),"")</f>
        <v/>
      </c>
      <c r="AL86" s="13" t="inlineStr"/>
      <c r="AM86" s="13" t="inlineStr"/>
      <c r="AN86" s="13" t="inlineStr"/>
      <c r="AO86" s="13">
        <f>IFERROR(ROUND(AVERAGE(AL86:AN86),1),"")</f>
        <v/>
      </c>
      <c r="AP86" s="13" t="n">
        <v>7</v>
      </c>
      <c r="AQ86" s="13" t="n">
        <v>7</v>
      </c>
      <c r="AR86" s="13" t="n">
        <v>8</v>
      </c>
      <c r="AS86" s="13" t="n">
        <v>5</v>
      </c>
      <c r="AT86" s="13">
        <f>IFERROR(ROUND(AVERAGE(AP86:AS86),1),"")</f>
        <v/>
      </c>
      <c r="AU86" s="13" t="n">
        <v>7.8</v>
      </c>
      <c r="AV86" s="13" t="n">
        <v>8</v>
      </c>
      <c r="AW86" s="13" t="n">
        <v>7.8</v>
      </c>
      <c r="AX86" s="13" t="n">
        <v>7.8</v>
      </c>
      <c r="AY86" s="13">
        <f>IFERROR(ROUND(AVERAGE(AU86:AX86),1),"")</f>
        <v/>
      </c>
      <c r="AZ86" s="13">
        <f>ROUND(0.19*N(Q86)+0.17*N(V86)+0.17*N(AA86)+0.1*N(AF86)+0.09*N(AK86)+0.12*N(AT86)+0.16*N(AY86),1)</f>
        <v/>
      </c>
      <c r="BA86" s="13" t="inlineStr">
        <is>
          <t>256K</t>
        </is>
      </c>
      <c r="BB86" s="13" t="n"/>
      <c r="BC86" s="13" t="inlineStr"/>
      <c r="BD86" s="13" t="inlineStr"/>
      <c r="BE86" s="13" t="inlineStr">
        <is>
          <t>high</t>
        </is>
      </c>
      <c r="BF86" s="13" t="n">
        <v>5</v>
      </c>
      <c r="BG86" s="13" t="n">
        <v>4</v>
      </c>
      <c r="BH86" s="13" t="inlineStr">
        <is>
          <t>Dedicated software-engineering model</t>
        </is>
      </c>
      <c r="BI86" s="13" t="inlineStr">
        <is>
          <t>Non-coding</t>
        </is>
      </c>
      <c r="BJ86" s="15" t="inlineStr">
        <is>
          <t>M</t>
        </is>
      </c>
      <c r="BK86" s="13" t="inlineStr">
        <is>
          <t>API beta 2026-05-28; family-inherited estimate (scaled from flagship); verify before HIGH-stakes routing</t>
        </is>
      </c>
      <c r="BL86" s="13" t="inlineStr">
        <is>
          <t>2026-06-07</t>
        </is>
      </c>
    </row>
    <row r="87">
      <c r="A87" s="13" t="inlineStr">
        <is>
          <t>grok-4.20</t>
        </is>
      </c>
      <c r="B87" s="13" t="inlineStr">
        <is>
          <t>Grok 4.20</t>
        </is>
      </c>
      <c r="C87" s="13" t="inlineStr">
        <is>
          <t>xAI</t>
        </is>
      </c>
      <c r="D87" s="13" t="inlineStr">
        <is>
          <t>Grok 4.x</t>
        </is>
      </c>
      <c r="E87" s="13" t="inlineStr">
        <is>
          <t>4.20</t>
        </is>
      </c>
      <c r="F87" s="13" t="inlineStr">
        <is>
          <t>Current</t>
        </is>
      </c>
      <c r="G87" s="13" t="inlineStr">
        <is>
          <t>Reasoner (low-halluc)</t>
        </is>
      </c>
      <c r="H87" s="13" t="inlineStr">
        <is>
          <t>xAI API</t>
        </is>
      </c>
      <c r="I87" s="13" t="inlineStr">
        <is>
          <t>HTTP API</t>
        </is>
      </c>
      <c r="J87" s="13" t="inlineStr">
        <is>
          <t>Not-keyed</t>
        </is>
      </c>
      <c r="K87" s="13" t="inlineStr">
        <is>
          <t>metered (not configured)</t>
        </is>
      </c>
      <c r="L87" s="13" t="inlineStr">
        <is>
          <t>No</t>
        </is>
      </c>
      <c r="M87" s="13" t="n">
        <v>8.800000000000001</v>
      </c>
      <c r="N87" s="13" t="n">
        <v>8.6</v>
      </c>
      <c r="O87" s="13" t="n">
        <v>8.4</v>
      </c>
      <c r="P87" s="13" t="n">
        <v>8.6</v>
      </c>
      <c r="Q87" s="13">
        <f>IFERROR(ROUND(AVERAGE(M87:P87),1),"")</f>
        <v/>
      </c>
      <c r="R87" s="13" t="n">
        <v>8.199999999999999</v>
      </c>
      <c r="S87" s="13" t="n">
        <v>7.8</v>
      </c>
      <c r="T87" s="13" t="n">
        <v>7.8</v>
      </c>
      <c r="U87" s="13" t="n">
        <v>8.199999999999999</v>
      </c>
      <c r="V87" s="13">
        <f>IFERROR(ROUND(AVERAGE(R87:U87),1),"")</f>
        <v/>
      </c>
      <c r="W87" s="13" t="n">
        <v>8.199999999999999</v>
      </c>
      <c r="X87" s="13" t="n">
        <v>8.199999999999999</v>
      </c>
      <c r="Y87" s="13" t="n">
        <v>8</v>
      </c>
      <c r="Z87" s="13" t="n">
        <v>8.199999999999999</v>
      </c>
      <c r="AA87" s="13">
        <f>IFERROR(ROUND(AVERAGE(W87:Z87),1),"")</f>
        <v/>
      </c>
      <c r="AB87" s="13" t="n">
        <v>8.199999999999999</v>
      </c>
      <c r="AC87" s="13" t="n">
        <v>8.199999999999999</v>
      </c>
      <c r="AD87" s="13" t="n">
        <v>8</v>
      </c>
      <c r="AE87" s="13" t="n">
        <v>8</v>
      </c>
      <c r="AF87" s="13">
        <f>IFERROR(ROUND(AVERAGE(AB87:AE87),1),"")</f>
        <v/>
      </c>
      <c r="AG87" s="13" t="n">
        <v>8</v>
      </c>
      <c r="AH87" s="13" t="n">
        <v>7.4</v>
      </c>
      <c r="AI87" s="13" t="n">
        <v>8</v>
      </c>
      <c r="AJ87" s="13" t="n">
        <v>8.199999999999999</v>
      </c>
      <c r="AK87" s="13">
        <f>IFERROR(ROUND(AVERAGE(AG87:AJ87),1),"")</f>
        <v/>
      </c>
      <c r="AL87" s="13" t="n">
        <v>8</v>
      </c>
      <c r="AM87" s="13" t="n">
        <v>7.8</v>
      </c>
      <c r="AN87" s="13" t="n">
        <v>7</v>
      </c>
      <c r="AO87" s="13">
        <f>IFERROR(ROUND(AVERAGE(AL87:AN87),1),"")</f>
        <v/>
      </c>
      <c r="AP87" s="13" t="n">
        <v>6.8</v>
      </c>
      <c r="AQ87" s="13" t="n">
        <v>6.8</v>
      </c>
      <c r="AR87" s="13" t="n">
        <v>10</v>
      </c>
      <c r="AS87" s="13" t="n">
        <v>4.5</v>
      </c>
      <c r="AT87" s="13">
        <f>IFERROR(ROUND(AVERAGE(AP87:AS87),1),"")</f>
        <v/>
      </c>
      <c r="AU87" s="13" t="n">
        <v>8.4</v>
      </c>
      <c r="AV87" s="13" t="n">
        <v>8.199999999999999</v>
      </c>
      <c r="AW87" s="13" t="n">
        <v>7.8</v>
      </c>
      <c r="AX87" s="13" t="n">
        <v>8.199999999999999</v>
      </c>
      <c r="AY87" s="13">
        <f>IFERROR(ROUND(AVERAGE(AU87:AX87),1),"")</f>
        <v/>
      </c>
      <c r="AZ87" s="13">
        <f>ROUND(0.19*N(Q87)+0.17*N(V87)+0.17*N(AA87)+0.1*N(AF87)+0.09*N(AK87)+0.12*N(AT87)+0.16*N(AY87),1)</f>
        <v/>
      </c>
      <c r="BA87" s="13" t="inlineStr">
        <is>
          <t>1M</t>
        </is>
      </c>
      <c r="BB87" s="13" t="n"/>
      <c r="BC87" s="13" t="inlineStr"/>
      <c r="BD87" s="13" t="inlineStr"/>
      <c r="BE87" s="13" t="inlineStr">
        <is>
          <t>high</t>
        </is>
      </c>
      <c r="BF87" s="13" t="n">
        <v>4</v>
      </c>
      <c r="BG87" s="13" t="n">
        <v>4</v>
      </c>
      <c r="BH87" s="13" t="inlineStr">
        <is>
          <t>High-performance, low hallucination</t>
        </is>
      </c>
      <c r="BI87" s="13" t="inlineStr"/>
      <c r="BJ87" s="16" t="inlineStr">
        <is>
          <t>L</t>
        </is>
      </c>
      <c r="BK87" s="13" t="inlineStr">
        <is>
          <t>xAI variant; family-inherited estimate (scaled from flagship); verify before HIGH-stakes routing</t>
        </is>
      </c>
      <c r="BL87" s="13" t="inlineStr">
        <is>
          <t>2026-06-07</t>
        </is>
      </c>
    </row>
    <row r="88">
      <c r="A88" s="13" t="inlineStr">
        <is>
          <t>grok-4.20</t>
        </is>
      </c>
      <c r="B88" s="13" t="inlineStr">
        <is>
          <t>Grok 4.20</t>
        </is>
      </c>
      <c r="C88" s="13" t="inlineStr">
        <is>
          <t>xAI</t>
        </is>
      </c>
      <c r="D88" s="13" t="inlineStr">
        <is>
          <t>Grok 4.x</t>
        </is>
      </c>
      <c r="E88" s="13" t="inlineStr">
        <is>
          <t>4.20</t>
        </is>
      </c>
      <c r="F88" s="13" t="inlineStr">
        <is>
          <t>Current</t>
        </is>
      </c>
      <c r="G88" s="13" t="inlineStr">
        <is>
          <t>Reasoner (low-halluc)</t>
        </is>
      </c>
      <c r="H88" s="13" t="inlineStr">
        <is>
          <t>OpenRouter</t>
        </is>
      </c>
      <c r="I88" s="13" t="inlineStr">
        <is>
          <t>Aggregator</t>
        </is>
      </c>
      <c r="J88" s="13" t="inlineStr">
        <is>
          <t>Not-keyed</t>
        </is>
      </c>
      <c r="K88" s="13" t="inlineStr">
        <is>
          <t>metered (not configured)</t>
        </is>
      </c>
      <c r="L88" s="13" t="inlineStr">
        <is>
          <t>No</t>
        </is>
      </c>
      <c r="M88" s="13" t="n">
        <v>8.800000000000001</v>
      </c>
      <c r="N88" s="13" t="n">
        <v>8.6</v>
      </c>
      <c r="O88" s="13" t="n">
        <v>8.4</v>
      </c>
      <c r="P88" s="13" t="n">
        <v>8.6</v>
      </c>
      <c r="Q88" s="13">
        <f>IFERROR(ROUND(AVERAGE(M88:P88),1),"")</f>
        <v/>
      </c>
      <c r="R88" s="13" t="n">
        <v>8.199999999999999</v>
      </c>
      <c r="S88" s="13" t="n">
        <v>7.8</v>
      </c>
      <c r="T88" s="13" t="n">
        <v>7.8</v>
      </c>
      <c r="U88" s="13" t="n">
        <v>8.199999999999999</v>
      </c>
      <c r="V88" s="13">
        <f>IFERROR(ROUND(AVERAGE(R88:U88),1),"")</f>
        <v/>
      </c>
      <c r="W88" s="13" t="n">
        <v>8.199999999999999</v>
      </c>
      <c r="X88" s="13" t="n">
        <v>8.199999999999999</v>
      </c>
      <c r="Y88" s="13" t="n">
        <v>8</v>
      </c>
      <c r="Z88" s="13" t="n">
        <v>8.199999999999999</v>
      </c>
      <c r="AA88" s="13">
        <f>IFERROR(ROUND(AVERAGE(W88:Z88),1),"")</f>
        <v/>
      </c>
      <c r="AB88" s="13" t="n">
        <v>8.199999999999999</v>
      </c>
      <c r="AC88" s="13" t="n">
        <v>8.199999999999999</v>
      </c>
      <c r="AD88" s="13" t="n">
        <v>8</v>
      </c>
      <c r="AE88" s="13" t="n">
        <v>8</v>
      </c>
      <c r="AF88" s="13">
        <f>IFERROR(ROUND(AVERAGE(AB88:AE88),1),"")</f>
        <v/>
      </c>
      <c r="AG88" s="13" t="n">
        <v>8</v>
      </c>
      <c r="AH88" s="13" t="n">
        <v>7.4</v>
      </c>
      <c r="AI88" s="13" t="n">
        <v>8</v>
      </c>
      <c r="AJ88" s="13" t="n">
        <v>8.199999999999999</v>
      </c>
      <c r="AK88" s="13">
        <f>IFERROR(ROUND(AVERAGE(AG88:AJ88),1),"")</f>
        <v/>
      </c>
      <c r="AL88" s="13" t="n">
        <v>8</v>
      </c>
      <c r="AM88" s="13" t="n">
        <v>7.8</v>
      </c>
      <c r="AN88" s="13" t="n">
        <v>7</v>
      </c>
      <c r="AO88" s="13">
        <f>IFERROR(ROUND(AVERAGE(AL88:AN88),1),"")</f>
        <v/>
      </c>
      <c r="AP88" s="13" t="n">
        <v>6.8</v>
      </c>
      <c r="AQ88" s="13" t="n">
        <v>6.8</v>
      </c>
      <c r="AR88" s="13" t="n">
        <v>10</v>
      </c>
      <c r="AS88" s="13" t="n">
        <v>4.5</v>
      </c>
      <c r="AT88" s="13">
        <f>IFERROR(ROUND(AVERAGE(AP88:AS88),1),"")</f>
        <v/>
      </c>
      <c r="AU88" s="13" t="n">
        <v>8.4</v>
      </c>
      <c r="AV88" s="13" t="n">
        <v>8.199999999999999</v>
      </c>
      <c r="AW88" s="13" t="n">
        <v>7.8</v>
      </c>
      <c r="AX88" s="13" t="n">
        <v>8.199999999999999</v>
      </c>
      <c r="AY88" s="13">
        <f>IFERROR(ROUND(AVERAGE(AU88:AX88),1),"")</f>
        <v/>
      </c>
      <c r="AZ88" s="13">
        <f>ROUND(0.19*N(Q88)+0.17*N(V88)+0.17*N(AA88)+0.1*N(AF88)+0.09*N(AK88)+0.12*N(AT88)+0.16*N(AY88),1)</f>
        <v/>
      </c>
      <c r="BA88" s="13" t="inlineStr">
        <is>
          <t>1M</t>
        </is>
      </c>
      <c r="BB88" s="13" t="n"/>
      <c r="BC88" s="13" t="inlineStr"/>
      <c r="BD88" s="13" t="inlineStr"/>
      <c r="BE88" s="13" t="inlineStr">
        <is>
          <t>high</t>
        </is>
      </c>
      <c r="BF88" s="13" t="n">
        <v>4</v>
      </c>
      <c r="BG88" s="13" t="n">
        <v>4</v>
      </c>
      <c r="BH88" s="13" t="inlineStr">
        <is>
          <t>High-performance, low hallucination</t>
        </is>
      </c>
      <c r="BI88" s="13" t="inlineStr"/>
      <c r="BJ88" s="16" t="inlineStr">
        <is>
          <t>L</t>
        </is>
      </c>
      <c r="BK88" s="13" t="inlineStr">
        <is>
          <t>xAI variant; family-inherited estimate (scaled from flagship); verify before HIGH-stakes routing</t>
        </is>
      </c>
      <c r="BL88" s="13" t="inlineStr">
        <is>
          <t>2026-06-07</t>
        </is>
      </c>
    </row>
    <row r="89">
      <c r="A89" s="13" t="inlineStr">
        <is>
          <t>meta-llama/Llama-4-Maverick-17B-128E</t>
        </is>
      </c>
      <c r="B89" s="13" t="inlineStr">
        <is>
          <t>Llama 4 Maverick</t>
        </is>
      </c>
      <c r="C89" s="13" t="inlineStr">
        <is>
          <t>Meta</t>
        </is>
      </c>
      <c r="D89" s="13" t="inlineStr">
        <is>
          <t>Llama 4</t>
        </is>
      </c>
      <c r="E89" s="13" t="inlineStr">
        <is>
          <t>maverick</t>
        </is>
      </c>
      <c r="F89" s="13" t="inlineStr">
        <is>
          <t>Current</t>
        </is>
      </c>
      <c r="G89" s="13" t="inlineStr">
        <is>
          <t>Open-Weight Workhorse</t>
        </is>
      </c>
      <c r="H89" s="13" t="inlineStr">
        <is>
          <t>Groq</t>
        </is>
      </c>
      <c r="I89" s="13" t="inlineStr">
        <is>
          <t>Aggregator</t>
        </is>
      </c>
      <c r="J89" s="13" t="inlineStr">
        <is>
          <t>Not-keyed</t>
        </is>
      </c>
      <c r="K89" s="13" t="inlineStr">
        <is>
          <t>metered (not configured)</t>
        </is>
      </c>
      <c r="L89" s="13" t="inlineStr">
        <is>
          <t>No</t>
        </is>
      </c>
      <c r="M89" s="13" t="n">
        <v>8</v>
      </c>
      <c r="N89" s="13" t="n">
        <v>7.6</v>
      </c>
      <c r="O89" s="13" t="n">
        <v>7.6</v>
      </c>
      <c r="P89" s="13" t="n">
        <v>8</v>
      </c>
      <c r="Q89" s="13">
        <f>IFERROR(ROUND(AVERAGE(M89:P89),1),"")</f>
        <v/>
      </c>
      <c r="R89" s="13" t="n">
        <v>7.8</v>
      </c>
      <c r="S89" s="13" t="n">
        <v>7.2</v>
      </c>
      <c r="T89" s="13" t="n">
        <v>7.4</v>
      </c>
      <c r="U89" s="13" t="n">
        <v>7.8</v>
      </c>
      <c r="V89" s="13">
        <f>IFERROR(ROUND(AVERAGE(R89:U89),1),"")</f>
        <v/>
      </c>
      <c r="W89" s="13" t="n">
        <v>7.8</v>
      </c>
      <c r="X89" s="13" t="n">
        <v>7.4</v>
      </c>
      <c r="Y89" s="13" t="n">
        <v>7</v>
      </c>
      <c r="Z89" s="13" t="n">
        <v>7.8</v>
      </c>
      <c r="AA89" s="13">
        <f>IFERROR(ROUND(AVERAGE(W89:Z89),1),"")</f>
        <v/>
      </c>
      <c r="AB89" s="13" t="n">
        <v>8</v>
      </c>
      <c r="AC89" s="13" t="n">
        <v>8</v>
      </c>
      <c r="AD89" s="13" t="n">
        <v>7.8</v>
      </c>
      <c r="AE89" s="13" t="n">
        <v>8.199999999999999</v>
      </c>
      <c r="AF89" s="13">
        <f>IFERROR(ROUND(AVERAGE(AB89:AE89),1),"")</f>
        <v/>
      </c>
      <c r="AG89" s="13" t="n">
        <v>7.4</v>
      </c>
      <c r="AH89" s="13" t="n">
        <v>6.6</v>
      </c>
      <c r="AI89" s="13" t="n">
        <v>7.6</v>
      </c>
      <c r="AJ89" s="13" t="n">
        <v>7.4</v>
      </c>
      <c r="AK89" s="13">
        <f>IFERROR(ROUND(AVERAGE(AG89:AJ89),1),"")</f>
        <v/>
      </c>
      <c r="AL89" s="13" t="n">
        <v>8</v>
      </c>
      <c r="AM89" s="13" t="n">
        <v>7.8</v>
      </c>
      <c r="AN89" s="13" t="inlineStr"/>
      <c r="AO89" s="13">
        <f>IFERROR(ROUND(AVERAGE(AL89:AN89),1),"")</f>
        <v/>
      </c>
      <c r="AP89" s="13" t="n">
        <v>8.5</v>
      </c>
      <c r="AQ89" s="13" t="n">
        <v>8.5</v>
      </c>
      <c r="AR89" s="13" t="n">
        <v>9</v>
      </c>
      <c r="AS89" s="13" t="n">
        <v>9</v>
      </c>
      <c r="AT89" s="13">
        <f>IFERROR(ROUND(AVERAGE(AP89:AS89),1),"")</f>
        <v/>
      </c>
      <c r="AU89" s="13" t="n">
        <v>7.4</v>
      </c>
      <c r="AV89" s="13" t="n">
        <v>7.6</v>
      </c>
      <c r="AW89" s="13" t="n">
        <v>7.6</v>
      </c>
      <c r="AX89" s="13" t="n">
        <v>7.4</v>
      </c>
      <c r="AY89" s="13">
        <f>IFERROR(ROUND(AVERAGE(AU89:AX89),1),"")</f>
        <v/>
      </c>
      <c r="AZ89" s="13">
        <f>ROUND(0.19*N(Q89)+0.17*N(V89)+0.17*N(AA89)+0.1*N(AF89)+0.09*N(AK89)+0.12*N(AT89)+0.16*N(AY89),1)</f>
        <v/>
      </c>
      <c r="BA89" s="13" t="inlineStr">
        <is>
          <t>1M</t>
        </is>
      </c>
      <c r="BB89" s="13" t="n"/>
      <c r="BC89" s="13" t="inlineStr"/>
      <c r="BD89" s="13" t="inlineStr"/>
      <c r="BE89" s="13" t="inlineStr">
        <is>
          <t>high</t>
        </is>
      </c>
      <c r="BF89" s="13" t="n">
        <v>4</v>
      </c>
      <c r="BG89" s="13" t="n">
        <v>4</v>
      </c>
      <c r="BH89" s="13" t="inlineStr">
        <is>
          <t>Cheap open-weight multimodal, high throughput via Groq</t>
        </is>
      </c>
      <c r="BI89" s="13" t="inlineStr">
        <is>
          <t>Frontier reasoning</t>
        </is>
      </c>
      <c r="BJ89" s="15" t="inlineStr">
        <is>
          <t>M</t>
        </is>
      </c>
      <c r="BK89" s="13" t="inlineStr">
        <is>
          <t>~400B/17B-active MoE; family-inherited estimate (scaled from flagship); verify before HIGH-stakes routing</t>
        </is>
      </c>
      <c r="BL89" s="13" t="inlineStr">
        <is>
          <t>2026-06-07</t>
        </is>
      </c>
    </row>
    <row r="90">
      <c r="A90" s="13" t="inlineStr">
        <is>
          <t>meta-llama/Llama-4-Maverick-17B-128E</t>
        </is>
      </c>
      <c r="B90" s="13" t="inlineStr">
        <is>
          <t>Llama 4 Maverick</t>
        </is>
      </c>
      <c r="C90" s="13" t="inlineStr">
        <is>
          <t>Meta</t>
        </is>
      </c>
      <c r="D90" s="13" t="inlineStr">
        <is>
          <t>Llama 4</t>
        </is>
      </c>
      <c r="E90" s="13" t="inlineStr">
        <is>
          <t>maverick</t>
        </is>
      </c>
      <c r="F90" s="13" t="inlineStr">
        <is>
          <t>Current</t>
        </is>
      </c>
      <c r="G90" s="13" t="inlineStr">
        <is>
          <t>Open-Weight Workhorse</t>
        </is>
      </c>
      <c r="H90" s="13" t="inlineStr">
        <is>
          <t>Together AI</t>
        </is>
      </c>
      <c r="I90" s="13" t="inlineStr">
        <is>
          <t>Aggregator</t>
        </is>
      </c>
      <c r="J90" s="13" t="inlineStr">
        <is>
          <t>Not-keyed</t>
        </is>
      </c>
      <c r="K90" s="13" t="inlineStr">
        <is>
          <t>metered (not configured)</t>
        </is>
      </c>
      <c r="L90" s="13" t="inlineStr">
        <is>
          <t>No</t>
        </is>
      </c>
      <c r="M90" s="13" t="n">
        <v>8</v>
      </c>
      <c r="N90" s="13" t="n">
        <v>7.6</v>
      </c>
      <c r="O90" s="13" t="n">
        <v>7.6</v>
      </c>
      <c r="P90" s="13" t="n">
        <v>8</v>
      </c>
      <c r="Q90" s="13">
        <f>IFERROR(ROUND(AVERAGE(M90:P90),1),"")</f>
        <v/>
      </c>
      <c r="R90" s="13" t="n">
        <v>7.8</v>
      </c>
      <c r="S90" s="13" t="n">
        <v>7.2</v>
      </c>
      <c r="T90" s="13" t="n">
        <v>7.4</v>
      </c>
      <c r="U90" s="13" t="n">
        <v>7.8</v>
      </c>
      <c r="V90" s="13">
        <f>IFERROR(ROUND(AVERAGE(R90:U90),1),"")</f>
        <v/>
      </c>
      <c r="W90" s="13" t="n">
        <v>7.8</v>
      </c>
      <c r="X90" s="13" t="n">
        <v>7.4</v>
      </c>
      <c r="Y90" s="13" t="n">
        <v>7</v>
      </c>
      <c r="Z90" s="13" t="n">
        <v>7.8</v>
      </c>
      <c r="AA90" s="13">
        <f>IFERROR(ROUND(AVERAGE(W90:Z90),1),"")</f>
        <v/>
      </c>
      <c r="AB90" s="13" t="n">
        <v>8</v>
      </c>
      <c r="AC90" s="13" t="n">
        <v>8</v>
      </c>
      <c r="AD90" s="13" t="n">
        <v>7.8</v>
      </c>
      <c r="AE90" s="13" t="n">
        <v>8.199999999999999</v>
      </c>
      <c r="AF90" s="13">
        <f>IFERROR(ROUND(AVERAGE(AB90:AE90),1),"")</f>
        <v/>
      </c>
      <c r="AG90" s="13" t="n">
        <v>7.4</v>
      </c>
      <c r="AH90" s="13" t="n">
        <v>6.6</v>
      </c>
      <c r="AI90" s="13" t="n">
        <v>7.6</v>
      </c>
      <c r="AJ90" s="13" t="n">
        <v>7.4</v>
      </c>
      <c r="AK90" s="13">
        <f>IFERROR(ROUND(AVERAGE(AG90:AJ90),1),"")</f>
        <v/>
      </c>
      <c r="AL90" s="13" t="n">
        <v>8</v>
      </c>
      <c r="AM90" s="13" t="n">
        <v>7.8</v>
      </c>
      <c r="AN90" s="13" t="inlineStr"/>
      <c r="AO90" s="13">
        <f>IFERROR(ROUND(AVERAGE(AL90:AN90),1),"")</f>
        <v/>
      </c>
      <c r="AP90" s="13" t="n">
        <v>8.5</v>
      </c>
      <c r="AQ90" s="13" t="n">
        <v>8.5</v>
      </c>
      <c r="AR90" s="13" t="n">
        <v>9</v>
      </c>
      <c r="AS90" s="13" t="n">
        <v>9</v>
      </c>
      <c r="AT90" s="13">
        <f>IFERROR(ROUND(AVERAGE(AP90:AS90),1),"")</f>
        <v/>
      </c>
      <c r="AU90" s="13" t="n">
        <v>7.4</v>
      </c>
      <c r="AV90" s="13" t="n">
        <v>7.6</v>
      </c>
      <c r="AW90" s="13" t="n">
        <v>7.6</v>
      </c>
      <c r="AX90" s="13" t="n">
        <v>7.4</v>
      </c>
      <c r="AY90" s="13">
        <f>IFERROR(ROUND(AVERAGE(AU90:AX90),1),"")</f>
        <v/>
      </c>
      <c r="AZ90" s="13">
        <f>ROUND(0.19*N(Q90)+0.17*N(V90)+0.17*N(AA90)+0.1*N(AF90)+0.09*N(AK90)+0.12*N(AT90)+0.16*N(AY90),1)</f>
        <v/>
      </c>
      <c r="BA90" s="13" t="inlineStr">
        <is>
          <t>1M</t>
        </is>
      </c>
      <c r="BB90" s="13" t="n"/>
      <c r="BC90" s="13" t="inlineStr"/>
      <c r="BD90" s="13" t="inlineStr"/>
      <c r="BE90" s="13" t="inlineStr">
        <is>
          <t>high</t>
        </is>
      </c>
      <c r="BF90" s="13" t="n">
        <v>4</v>
      </c>
      <c r="BG90" s="13" t="n">
        <v>4</v>
      </c>
      <c r="BH90" s="13" t="inlineStr">
        <is>
          <t>Cheap open-weight multimodal, high throughput via Groq</t>
        </is>
      </c>
      <c r="BI90" s="13" t="inlineStr">
        <is>
          <t>Frontier reasoning</t>
        </is>
      </c>
      <c r="BJ90" s="15" t="inlineStr">
        <is>
          <t>M</t>
        </is>
      </c>
      <c r="BK90" s="13" t="inlineStr">
        <is>
          <t>~400B/17B-active MoE; family-inherited estimate (scaled from flagship); verify before HIGH-stakes routing</t>
        </is>
      </c>
      <c r="BL90" s="13" t="inlineStr">
        <is>
          <t>2026-06-07</t>
        </is>
      </c>
    </row>
    <row r="91">
      <c r="A91" s="13" t="inlineStr">
        <is>
          <t>meta-llama/Llama-4-Maverick-17B-128E</t>
        </is>
      </c>
      <c r="B91" s="13" t="inlineStr">
        <is>
          <t>Llama 4 Maverick</t>
        </is>
      </c>
      <c r="C91" s="13" t="inlineStr">
        <is>
          <t>Meta</t>
        </is>
      </c>
      <c r="D91" s="13" t="inlineStr">
        <is>
          <t>Llama 4</t>
        </is>
      </c>
      <c r="E91" s="13" t="inlineStr">
        <is>
          <t>maverick</t>
        </is>
      </c>
      <c r="F91" s="13" t="inlineStr">
        <is>
          <t>Current</t>
        </is>
      </c>
      <c r="G91" s="13" t="inlineStr">
        <is>
          <t>Open-Weight Workhorse</t>
        </is>
      </c>
      <c r="H91" s="13" t="inlineStr">
        <is>
          <t>Fireworks AI</t>
        </is>
      </c>
      <c r="I91" s="13" t="inlineStr">
        <is>
          <t>Aggregator</t>
        </is>
      </c>
      <c r="J91" s="13" t="inlineStr">
        <is>
          <t>Not-keyed</t>
        </is>
      </c>
      <c r="K91" s="13" t="inlineStr">
        <is>
          <t>metered (not configured)</t>
        </is>
      </c>
      <c r="L91" s="13" t="inlineStr">
        <is>
          <t>No</t>
        </is>
      </c>
      <c r="M91" s="13" t="n">
        <v>8</v>
      </c>
      <c r="N91" s="13" t="n">
        <v>7.6</v>
      </c>
      <c r="O91" s="13" t="n">
        <v>7.6</v>
      </c>
      <c r="P91" s="13" t="n">
        <v>8</v>
      </c>
      <c r="Q91" s="13">
        <f>IFERROR(ROUND(AVERAGE(M91:P91),1),"")</f>
        <v/>
      </c>
      <c r="R91" s="13" t="n">
        <v>7.8</v>
      </c>
      <c r="S91" s="13" t="n">
        <v>7.2</v>
      </c>
      <c r="T91" s="13" t="n">
        <v>7.4</v>
      </c>
      <c r="U91" s="13" t="n">
        <v>7.8</v>
      </c>
      <c r="V91" s="13">
        <f>IFERROR(ROUND(AVERAGE(R91:U91),1),"")</f>
        <v/>
      </c>
      <c r="W91" s="13" t="n">
        <v>7.8</v>
      </c>
      <c r="X91" s="13" t="n">
        <v>7.4</v>
      </c>
      <c r="Y91" s="13" t="n">
        <v>7</v>
      </c>
      <c r="Z91" s="13" t="n">
        <v>7.8</v>
      </c>
      <c r="AA91" s="13">
        <f>IFERROR(ROUND(AVERAGE(W91:Z91),1),"")</f>
        <v/>
      </c>
      <c r="AB91" s="13" t="n">
        <v>8</v>
      </c>
      <c r="AC91" s="13" t="n">
        <v>8</v>
      </c>
      <c r="AD91" s="13" t="n">
        <v>7.8</v>
      </c>
      <c r="AE91" s="13" t="n">
        <v>8.199999999999999</v>
      </c>
      <c r="AF91" s="13">
        <f>IFERROR(ROUND(AVERAGE(AB91:AE91),1),"")</f>
        <v/>
      </c>
      <c r="AG91" s="13" t="n">
        <v>7.4</v>
      </c>
      <c r="AH91" s="13" t="n">
        <v>6.6</v>
      </c>
      <c r="AI91" s="13" t="n">
        <v>7.6</v>
      </c>
      <c r="AJ91" s="13" t="n">
        <v>7.4</v>
      </c>
      <c r="AK91" s="13">
        <f>IFERROR(ROUND(AVERAGE(AG91:AJ91),1),"")</f>
        <v/>
      </c>
      <c r="AL91" s="13" t="n">
        <v>8</v>
      </c>
      <c r="AM91" s="13" t="n">
        <v>7.8</v>
      </c>
      <c r="AN91" s="13" t="inlineStr"/>
      <c r="AO91" s="13">
        <f>IFERROR(ROUND(AVERAGE(AL91:AN91),1),"")</f>
        <v/>
      </c>
      <c r="AP91" s="13" t="n">
        <v>8.5</v>
      </c>
      <c r="AQ91" s="13" t="n">
        <v>8.5</v>
      </c>
      <c r="AR91" s="13" t="n">
        <v>9</v>
      </c>
      <c r="AS91" s="13" t="n">
        <v>9</v>
      </c>
      <c r="AT91" s="13">
        <f>IFERROR(ROUND(AVERAGE(AP91:AS91),1),"")</f>
        <v/>
      </c>
      <c r="AU91" s="13" t="n">
        <v>7.4</v>
      </c>
      <c r="AV91" s="13" t="n">
        <v>7.6</v>
      </c>
      <c r="AW91" s="13" t="n">
        <v>7.6</v>
      </c>
      <c r="AX91" s="13" t="n">
        <v>7.4</v>
      </c>
      <c r="AY91" s="13">
        <f>IFERROR(ROUND(AVERAGE(AU91:AX91),1),"")</f>
        <v/>
      </c>
      <c r="AZ91" s="13">
        <f>ROUND(0.19*N(Q91)+0.17*N(V91)+0.17*N(AA91)+0.1*N(AF91)+0.09*N(AK91)+0.12*N(AT91)+0.16*N(AY91),1)</f>
        <v/>
      </c>
      <c r="BA91" s="13" t="inlineStr">
        <is>
          <t>1M</t>
        </is>
      </c>
      <c r="BB91" s="13" t="n"/>
      <c r="BC91" s="13" t="inlineStr"/>
      <c r="BD91" s="13" t="inlineStr"/>
      <c r="BE91" s="13" t="inlineStr">
        <is>
          <t>high</t>
        </is>
      </c>
      <c r="BF91" s="13" t="n">
        <v>4</v>
      </c>
      <c r="BG91" s="13" t="n">
        <v>4</v>
      </c>
      <c r="BH91" s="13" t="inlineStr">
        <is>
          <t>Cheap open-weight multimodal, high throughput via Groq</t>
        </is>
      </c>
      <c r="BI91" s="13" t="inlineStr">
        <is>
          <t>Frontier reasoning</t>
        </is>
      </c>
      <c r="BJ91" s="15" t="inlineStr">
        <is>
          <t>M</t>
        </is>
      </c>
      <c r="BK91" s="13" t="inlineStr">
        <is>
          <t>~400B/17B-active MoE; family-inherited estimate (scaled from flagship); verify before HIGH-stakes routing</t>
        </is>
      </c>
      <c r="BL91" s="13" t="inlineStr">
        <is>
          <t>2026-06-07</t>
        </is>
      </c>
    </row>
    <row r="92">
      <c r="A92" s="13" t="inlineStr">
        <is>
          <t>meta-llama/Llama-4-Maverick-17B-128E</t>
        </is>
      </c>
      <c r="B92" s="13" t="inlineStr">
        <is>
          <t>Llama 4 Maverick</t>
        </is>
      </c>
      <c r="C92" s="13" t="inlineStr">
        <is>
          <t>Meta</t>
        </is>
      </c>
      <c r="D92" s="13" t="inlineStr">
        <is>
          <t>Llama 4</t>
        </is>
      </c>
      <c r="E92" s="13" t="inlineStr">
        <is>
          <t>maverick</t>
        </is>
      </c>
      <c r="F92" s="13" t="inlineStr">
        <is>
          <t>Current</t>
        </is>
      </c>
      <c r="G92" s="13" t="inlineStr">
        <is>
          <t>Open-Weight Workhorse</t>
        </is>
      </c>
      <c r="H92" s="13" t="inlineStr">
        <is>
          <t>Perplexity API</t>
        </is>
      </c>
      <c r="I92" s="13" t="inlineStr">
        <is>
          <t>Aggregator</t>
        </is>
      </c>
      <c r="J92" s="13" t="inlineStr">
        <is>
          <t>Not-keyed</t>
        </is>
      </c>
      <c r="K92" s="13" t="inlineStr">
        <is>
          <t>metered (not configured)</t>
        </is>
      </c>
      <c r="L92" s="13" t="inlineStr">
        <is>
          <t>No</t>
        </is>
      </c>
      <c r="M92" s="13" t="n">
        <v>8</v>
      </c>
      <c r="N92" s="13" t="n">
        <v>7.6</v>
      </c>
      <c r="O92" s="13" t="n">
        <v>7.6</v>
      </c>
      <c r="P92" s="13" t="n">
        <v>8</v>
      </c>
      <c r="Q92" s="13">
        <f>IFERROR(ROUND(AVERAGE(M92:P92),1),"")</f>
        <v/>
      </c>
      <c r="R92" s="13" t="n">
        <v>7.8</v>
      </c>
      <c r="S92" s="13" t="n">
        <v>7.2</v>
      </c>
      <c r="T92" s="13" t="n">
        <v>7.4</v>
      </c>
      <c r="U92" s="13" t="n">
        <v>7.8</v>
      </c>
      <c r="V92" s="13">
        <f>IFERROR(ROUND(AVERAGE(R92:U92),1),"")</f>
        <v/>
      </c>
      <c r="W92" s="13" t="n">
        <v>7.8</v>
      </c>
      <c r="X92" s="13" t="n">
        <v>7.4</v>
      </c>
      <c r="Y92" s="13" t="n">
        <v>7</v>
      </c>
      <c r="Z92" s="13" t="n">
        <v>7.8</v>
      </c>
      <c r="AA92" s="13">
        <f>IFERROR(ROUND(AVERAGE(W92:Z92),1),"")</f>
        <v/>
      </c>
      <c r="AB92" s="13" t="n">
        <v>8</v>
      </c>
      <c r="AC92" s="13" t="n">
        <v>8</v>
      </c>
      <c r="AD92" s="13" t="n">
        <v>7.8</v>
      </c>
      <c r="AE92" s="13" t="n">
        <v>8.199999999999999</v>
      </c>
      <c r="AF92" s="13">
        <f>IFERROR(ROUND(AVERAGE(AB92:AE92),1),"")</f>
        <v/>
      </c>
      <c r="AG92" s="13" t="n">
        <v>7.4</v>
      </c>
      <c r="AH92" s="13" t="n">
        <v>6.6</v>
      </c>
      <c r="AI92" s="13" t="n">
        <v>7.6</v>
      </c>
      <c r="AJ92" s="13" t="n">
        <v>7.4</v>
      </c>
      <c r="AK92" s="13">
        <f>IFERROR(ROUND(AVERAGE(AG92:AJ92),1),"")</f>
        <v/>
      </c>
      <c r="AL92" s="13" t="n">
        <v>8</v>
      </c>
      <c r="AM92" s="13" t="n">
        <v>7.8</v>
      </c>
      <c r="AN92" s="13" t="inlineStr"/>
      <c r="AO92" s="13">
        <f>IFERROR(ROUND(AVERAGE(AL92:AN92),1),"")</f>
        <v/>
      </c>
      <c r="AP92" s="13" t="n">
        <v>8.5</v>
      </c>
      <c r="AQ92" s="13" t="n">
        <v>8.5</v>
      </c>
      <c r="AR92" s="13" t="n">
        <v>9</v>
      </c>
      <c r="AS92" s="13" t="n">
        <v>9</v>
      </c>
      <c r="AT92" s="13">
        <f>IFERROR(ROUND(AVERAGE(AP92:AS92),1),"")</f>
        <v/>
      </c>
      <c r="AU92" s="13" t="n">
        <v>7.4</v>
      </c>
      <c r="AV92" s="13" t="n">
        <v>7.6</v>
      </c>
      <c r="AW92" s="13" t="n">
        <v>7.6</v>
      </c>
      <c r="AX92" s="13" t="n">
        <v>7.4</v>
      </c>
      <c r="AY92" s="13">
        <f>IFERROR(ROUND(AVERAGE(AU92:AX92),1),"")</f>
        <v/>
      </c>
      <c r="AZ92" s="13">
        <f>ROUND(0.19*N(Q92)+0.17*N(V92)+0.17*N(AA92)+0.1*N(AF92)+0.09*N(AK92)+0.12*N(AT92)+0.16*N(AY92),1)</f>
        <v/>
      </c>
      <c r="BA92" s="13" t="inlineStr">
        <is>
          <t>1M</t>
        </is>
      </c>
      <c r="BB92" s="13" t="n"/>
      <c r="BC92" s="13" t="inlineStr"/>
      <c r="BD92" s="13" t="inlineStr"/>
      <c r="BE92" s="13" t="inlineStr">
        <is>
          <t>high</t>
        </is>
      </c>
      <c r="BF92" s="13" t="n">
        <v>4</v>
      </c>
      <c r="BG92" s="13" t="n">
        <v>4</v>
      </c>
      <c r="BH92" s="13" t="inlineStr">
        <is>
          <t>Cheap open-weight multimodal, high throughput via Groq</t>
        </is>
      </c>
      <c r="BI92" s="13" t="inlineStr">
        <is>
          <t>Frontier reasoning</t>
        </is>
      </c>
      <c r="BJ92" s="15" t="inlineStr">
        <is>
          <t>M</t>
        </is>
      </c>
      <c r="BK92" s="13" t="inlineStr">
        <is>
          <t>~400B/17B-active MoE; family-inherited estimate (scaled from flagship); verify before HIGH-stakes routing</t>
        </is>
      </c>
      <c r="BL92" s="13" t="inlineStr">
        <is>
          <t>2026-06-07</t>
        </is>
      </c>
    </row>
    <row r="93">
      <c r="A93" s="13" t="inlineStr">
        <is>
          <t>meta-llama/Llama-4-Maverick-17B-128E</t>
        </is>
      </c>
      <c r="B93" s="13" t="inlineStr">
        <is>
          <t>Llama 4 Maverick</t>
        </is>
      </c>
      <c r="C93" s="13" t="inlineStr">
        <is>
          <t>Meta</t>
        </is>
      </c>
      <c r="D93" s="13" t="inlineStr">
        <is>
          <t>Llama 4</t>
        </is>
      </c>
      <c r="E93" s="13" t="inlineStr">
        <is>
          <t>maverick</t>
        </is>
      </c>
      <c r="F93" s="13" t="inlineStr">
        <is>
          <t>Current</t>
        </is>
      </c>
      <c r="G93" s="13" t="inlineStr">
        <is>
          <t>Open-Weight Workhorse</t>
        </is>
      </c>
      <c r="H93" s="13" t="inlineStr">
        <is>
          <t>Amazon Bedrock (Kiro)</t>
        </is>
      </c>
      <c r="I93" s="13" t="inlineStr">
        <is>
          <t>Aggregator</t>
        </is>
      </c>
      <c r="J93" s="13" t="inlineStr">
        <is>
          <t>Installed; login unverified</t>
        </is>
      </c>
      <c r="K93" s="13" t="inlineStr">
        <is>
          <t>metered (not configured)</t>
        </is>
      </c>
      <c r="L93" s="13" t="inlineStr">
        <is>
          <t>No</t>
        </is>
      </c>
      <c r="M93" s="13" t="n">
        <v>8</v>
      </c>
      <c r="N93" s="13" t="n">
        <v>7.6</v>
      </c>
      <c r="O93" s="13" t="n">
        <v>7.6</v>
      </c>
      <c r="P93" s="13" t="n">
        <v>8</v>
      </c>
      <c r="Q93" s="13">
        <f>IFERROR(ROUND(AVERAGE(M93:P93),1),"")</f>
        <v/>
      </c>
      <c r="R93" s="13" t="n">
        <v>7.8</v>
      </c>
      <c r="S93" s="13" t="n">
        <v>7.2</v>
      </c>
      <c r="T93" s="13" t="n">
        <v>7.4</v>
      </c>
      <c r="U93" s="13" t="n">
        <v>7.8</v>
      </c>
      <c r="V93" s="13">
        <f>IFERROR(ROUND(AVERAGE(R93:U93),1),"")</f>
        <v/>
      </c>
      <c r="W93" s="13" t="n">
        <v>7.8</v>
      </c>
      <c r="X93" s="13" t="n">
        <v>7.4</v>
      </c>
      <c r="Y93" s="13" t="n">
        <v>7</v>
      </c>
      <c r="Z93" s="13" t="n">
        <v>7.8</v>
      </c>
      <c r="AA93" s="13">
        <f>IFERROR(ROUND(AVERAGE(W93:Z93),1),"")</f>
        <v/>
      </c>
      <c r="AB93" s="13" t="n">
        <v>8</v>
      </c>
      <c r="AC93" s="13" t="n">
        <v>8</v>
      </c>
      <c r="AD93" s="13" t="n">
        <v>7.8</v>
      </c>
      <c r="AE93" s="13" t="n">
        <v>8.199999999999999</v>
      </c>
      <c r="AF93" s="13">
        <f>IFERROR(ROUND(AVERAGE(AB93:AE93),1),"")</f>
        <v/>
      </c>
      <c r="AG93" s="13" t="n">
        <v>7.4</v>
      </c>
      <c r="AH93" s="13" t="n">
        <v>6.6</v>
      </c>
      <c r="AI93" s="13" t="n">
        <v>7.6</v>
      </c>
      <c r="AJ93" s="13" t="n">
        <v>7.4</v>
      </c>
      <c r="AK93" s="13">
        <f>IFERROR(ROUND(AVERAGE(AG93:AJ93),1),"")</f>
        <v/>
      </c>
      <c r="AL93" s="13" t="n">
        <v>8</v>
      </c>
      <c r="AM93" s="13" t="n">
        <v>7.8</v>
      </c>
      <c r="AN93" s="13" t="inlineStr"/>
      <c r="AO93" s="13">
        <f>IFERROR(ROUND(AVERAGE(AL93:AN93),1),"")</f>
        <v/>
      </c>
      <c r="AP93" s="13" t="n">
        <v>8.5</v>
      </c>
      <c r="AQ93" s="13" t="n">
        <v>8.5</v>
      </c>
      <c r="AR93" s="13" t="n">
        <v>9</v>
      </c>
      <c r="AS93" s="13" t="n">
        <v>9</v>
      </c>
      <c r="AT93" s="13">
        <f>IFERROR(ROUND(AVERAGE(AP93:AS93),1),"")</f>
        <v/>
      </c>
      <c r="AU93" s="13" t="n">
        <v>7.4</v>
      </c>
      <c r="AV93" s="13" t="n">
        <v>7.6</v>
      </c>
      <c r="AW93" s="13" t="n">
        <v>7.6</v>
      </c>
      <c r="AX93" s="13" t="n">
        <v>7.4</v>
      </c>
      <c r="AY93" s="13">
        <f>IFERROR(ROUND(AVERAGE(AU93:AX93),1),"")</f>
        <v/>
      </c>
      <c r="AZ93" s="13">
        <f>ROUND(0.19*N(Q93)+0.17*N(V93)+0.17*N(AA93)+0.1*N(AF93)+0.09*N(AK93)+0.12*N(AT93)+0.16*N(AY93),1)</f>
        <v/>
      </c>
      <c r="BA93" s="13" t="inlineStr">
        <is>
          <t>1M</t>
        </is>
      </c>
      <c r="BB93" s="13" t="n"/>
      <c r="BC93" s="13" t="inlineStr"/>
      <c r="BD93" s="13" t="inlineStr"/>
      <c r="BE93" s="13" t="inlineStr">
        <is>
          <t>high</t>
        </is>
      </c>
      <c r="BF93" s="13" t="n">
        <v>4</v>
      </c>
      <c r="BG93" s="13" t="n">
        <v>4</v>
      </c>
      <c r="BH93" s="13" t="inlineStr">
        <is>
          <t>Cheap open-weight multimodal, high throughput via Groq</t>
        </is>
      </c>
      <c r="BI93" s="13" t="inlineStr">
        <is>
          <t>Frontier reasoning</t>
        </is>
      </c>
      <c r="BJ93" s="15" t="inlineStr">
        <is>
          <t>M</t>
        </is>
      </c>
      <c r="BK93" s="13" t="inlineStr">
        <is>
          <t>~400B/17B-active MoE; family-inherited estimate (scaled from flagship); verify before HIGH-stakes routing</t>
        </is>
      </c>
      <c r="BL93" s="13" t="inlineStr">
        <is>
          <t>2026-06-07</t>
        </is>
      </c>
    </row>
    <row r="94">
      <c r="A94" s="13" t="inlineStr">
        <is>
          <t>meta-llama/Llama-4-Maverick-17B-128E</t>
        </is>
      </c>
      <c r="B94" s="13" t="inlineStr">
        <is>
          <t>Llama 4 Maverick</t>
        </is>
      </c>
      <c r="C94" s="13" t="inlineStr">
        <is>
          <t>Meta</t>
        </is>
      </c>
      <c r="D94" s="13" t="inlineStr">
        <is>
          <t>Llama 4</t>
        </is>
      </c>
      <c r="E94" s="13" t="inlineStr">
        <is>
          <t>maverick</t>
        </is>
      </c>
      <c r="F94" s="13" t="inlineStr">
        <is>
          <t>Current</t>
        </is>
      </c>
      <c r="G94" s="13" t="inlineStr">
        <is>
          <t>Open-Weight Workhorse</t>
        </is>
      </c>
      <c r="H94" s="13" t="inlineStr">
        <is>
          <t>GitHub Models (AI Toolkit)</t>
        </is>
      </c>
      <c r="I94" s="13" t="inlineStr">
        <is>
          <t>Aggregator</t>
        </is>
      </c>
      <c r="J94" s="13" t="inlineStr">
        <is>
          <t>Configured</t>
        </is>
      </c>
      <c r="K94" s="13" t="inlineStr">
        <is>
          <t>subscription_included</t>
        </is>
      </c>
      <c r="L94" s="13" t="inlineStr">
        <is>
          <t>No</t>
        </is>
      </c>
      <c r="M94" s="13" t="n">
        <v>8</v>
      </c>
      <c r="N94" s="13" t="n">
        <v>7.6</v>
      </c>
      <c r="O94" s="13" t="n">
        <v>7.6</v>
      </c>
      <c r="P94" s="13" t="n">
        <v>8</v>
      </c>
      <c r="Q94" s="13">
        <f>IFERROR(ROUND(AVERAGE(M94:P94),1),"")</f>
        <v/>
      </c>
      <c r="R94" s="13" t="n">
        <v>7.8</v>
      </c>
      <c r="S94" s="13" t="n">
        <v>7.2</v>
      </c>
      <c r="T94" s="13" t="n">
        <v>7.4</v>
      </c>
      <c r="U94" s="13" t="n">
        <v>7.8</v>
      </c>
      <c r="V94" s="13">
        <f>IFERROR(ROUND(AVERAGE(R94:U94),1),"")</f>
        <v/>
      </c>
      <c r="W94" s="13" t="n">
        <v>7.8</v>
      </c>
      <c r="X94" s="13" t="n">
        <v>7.4</v>
      </c>
      <c r="Y94" s="13" t="n">
        <v>7</v>
      </c>
      <c r="Z94" s="13" t="n">
        <v>7.8</v>
      </c>
      <c r="AA94" s="13">
        <f>IFERROR(ROUND(AVERAGE(W94:Z94),1),"")</f>
        <v/>
      </c>
      <c r="AB94" s="13" t="n">
        <v>8</v>
      </c>
      <c r="AC94" s="13" t="n">
        <v>8</v>
      </c>
      <c r="AD94" s="13" t="n">
        <v>7.8</v>
      </c>
      <c r="AE94" s="13" t="n">
        <v>8.199999999999999</v>
      </c>
      <c r="AF94" s="13">
        <f>IFERROR(ROUND(AVERAGE(AB94:AE94),1),"")</f>
        <v/>
      </c>
      <c r="AG94" s="13" t="n">
        <v>7.4</v>
      </c>
      <c r="AH94" s="13" t="n">
        <v>6.6</v>
      </c>
      <c r="AI94" s="13" t="n">
        <v>7.6</v>
      </c>
      <c r="AJ94" s="13" t="n">
        <v>7.4</v>
      </c>
      <c r="AK94" s="13">
        <f>IFERROR(ROUND(AVERAGE(AG94:AJ94),1),"")</f>
        <v/>
      </c>
      <c r="AL94" s="13" t="n">
        <v>8</v>
      </c>
      <c r="AM94" s="13" t="n">
        <v>7.8</v>
      </c>
      <c r="AN94" s="13" t="inlineStr"/>
      <c r="AO94" s="13">
        <f>IFERROR(ROUND(AVERAGE(AL94:AN94),1),"")</f>
        <v/>
      </c>
      <c r="AP94" s="13" t="n">
        <v>8.5</v>
      </c>
      <c r="AQ94" s="13" t="n">
        <v>8.5</v>
      </c>
      <c r="AR94" s="13" t="n">
        <v>9</v>
      </c>
      <c r="AS94" s="13" t="n">
        <v>9</v>
      </c>
      <c r="AT94" s="13">
        <f>IFERROR(ROUND(AVERAGE(AP94:AS94),1),"")</f>
        <v/>
      </c>
      <c r="AU94" s="13" t="n">
        <v>7.4</v>
      </c>
      <c r="AV94" s="13" t="n">
        <v>7.6</v>
      </c>
      <c r="AW94" s="13" t="n">
        <v>7.6</v>
      </c>
      <c r="AX94" s="13" t="n">
        <v>7.4</v>
      </c>
      <c r="AY94" s="13">
        <f>IFERROR(ROUND(AVERAGE(AU94:AX94),1),"")</f>
        <v/>
      </c>
      <c r="AZ94" s="13">
        <f>ROUND(0.19*N(Q94)+0.17*N(V94)+0.17*N(AA94)+0.1*N(AF94)+0.09*N(AK94)+0.12*N(AT94)+0.16*N(AY94),1)</f>
        <v/>
      </c>
      <c r="BA94" s="13" t="inlineStr">
        <is>
          <t>1M</t>
        </is>
      </c>
      <c r="BB94" s="13" t="n"/>
      <c r="BC94" s="13" t="inlineStr"/>
      <c r="BD94" s="13" t="inlineStr"/>
      <c r="BE94" s="13" t="inlineStr">
        <is>
          <t>high</t>
        </is>
      </c>
      <c r="BF94" s="13" t="n">
        <v>4</v>
      </c>
      <c r="BG94" s="13" t="n">
        <v>4</v>
      </c>
      <c r="BH94" s="13" t="inlineStr">
        <is>
          <t>Cheap open-weight multimodal, high throughput via Groq</t>
        </is>
      </c>
      <c r="BI94" s="13" t="inlineStr">
        <is>
          <t>Frontier reasoning</t>
        </is>
      </c>
      <c r="BJ94" s="15" t="inlineStr">
        <is>
          <t>M</t>
        </is>
      </c>
      <c r="BK94" s="13" t="inlineStr">
        <is>
          <t>~400B/17B-active MoE; family-inherited estimate (scaled from flagship); verify before HIGH-stakes routing</t>
        </is>
      </c>
      <c r="BL94" s="13" t="inlineStr">
        <is>
          <t>2026-06-07</t>
        </is>
      </c>
    </row>
    <row r="95">
      <c r="A95" s="13" t="inlineStr">
        <is>
          <t>meta-llama/Llama-4-Maverick-17B-128E</t>
        </is>
      </c>
      <c r="B95" s="13" t="inlineStr">
        <is>
          <t>Llama 4 Maverick</t>
        </is>
      </c>
      <c r="C95" s="13" t="inlineStr">
        <is>
          <t>Meta</t>
        </is>
      </c>
      <c r="D95" s="13" t="inlineStr">
        <is>
          <t>Llama 4</t>
        </is>
      </c>
      <c r="E95" s="13" t="inlineStr">
        <is>
          <t>maverick</t>
        </is>
      </c>
      <c r="F95" s="13" t="inlineStr">
        <is>
          <t>Current</t>
        </is>
      </c>
      <c r="G95" s="13" t="inlineStr">
        <is>
          <t>Open-Weight Workhorse</t>
        </is>
      </c>
      <c r="H95" s="13" t="inlineStr">
        <is>
          <t>OpenRouter</t>
        </is>
      </c>
      <c r="I95" s="13" t="inlineStr">
        <is>
          <t>Aggregator</t>
        </is>
      </c>
      <c r="J95" s="13" t="inlineStr">
        <is>
          <t>Not-keyed</t>
        </is>
      </c>
      <c r="K95" s="13" t="inlineStr">
        <is>
          <t>metered (not configured)</t>
        </is>
      </c>
      <c r="L95" s="13" t="inlineStr">
        <is>
          <t>No</t>
        </is>
      </c>
      <c r="M95" s="13" t="n">
        <v>8</v>
      </c>
      <c r="N95" s="13" t="n">
        <v>7.6</v>
      </c>
      <c r="O95" s="13" t="n">
        <v>7.6</v>
      </c>
      <c r="P95" s="13" t="n">
        <v>8</v>
      </c>
      <c r="Q95" s="13">
        <f>IFERROR(ROUND(AVERAGE(M95:P95),1),"")</f>
        <v/>
      </c>
      <c r="R95" s="13" t="n">
        <v>7.8</v>
      </c>
      <c r="S95" s="13" t="n">
        <v>7.2</v>
      </c>
      <c r="T95" s="13" t="n">
        <v>7.4</v>
      </c>
      <c r="U95" s="13" t="n">
        <v>7.8</v>
      </c>
      <c r="V95" s="13">
        <f>IFERROR(ROUND(AVERAGE(R95:U95),1),"")</f>
        <v/>
      </c>
      <c r="W95" s="13" t="n">
        <v>7.8</v>
      </c>
      <c r="X95" s="13" t="n">
        <v>7.4</v>
      </c>
      <c r="Y95" s="13" t="n">
        <v>7</v>
      </c>
      <c r="Z95" s="13" t="n">
        <v>7.8</v>
      </c>
      <c r="AA95" s="13">
        <f>IFERROR(ROUND(AVERAGE(W95:Z95),1),"")</f>
        <v/>
      </c>
      <c r="AB95" s="13" t="n">
        <v>8</v>
      </c>
      <c r="AC95" s="13" t="n">
        <v>8</v>
      </c>
      <c r="AD95" s="13" t="n">
        <v>7.8</v>
      </c>
      <c r="AE95" s="13" t="n">
        <v>8.199999999999999</v>
      </c>
      <c r="AF95" s="13">
        <f>IFERROR(ROUND(AVERAGE(AB95:AE95),1),"")</f>
        <v/>
      </c>
      <c r="AG95" s="13" t="n">
        <v>7.4</v>
      </c>
      <c r="AH95" s="13" t="n">
        <v>6.6</v>
      </c>
      <c r="AI95" s="13" t="n">
        <v>7.6</v>
      </c>
      <c r="AJ95" s="13" t="n">
        <v>7.4</v>
      </c>
      <c r="AK95" s="13">
        <f>IFERROR(ROUND(AVERAGE(AG95:AJ95),1),"")</f>
        <v/>
      </c>
      <c r="AL95" s="13" t="n">
        <v>8</v>
      </c>
      <c r="AM95" s="13" t="n">
        <v>7.8</v>
      </c>
      <c r="AN95" s="13" t="inlineStr"/>
      <c r="AO95" s="13">
        <f>IFERROR(ROUND(AVERAGE(AL95:AN95),1),"")</f>
        <v/>
      </c>
      <c r="AP95" s="13" t="n">
        <v>8.5</v>
      </c>
      <c r="AQ95" s="13" t="n">
        <v>8.5</v>
      </c>
      <c r="AR95" s="13" t="n">
        <v>9</v>
      </c>
      <c r="AS95" s="13" t="n">
        <v>9</v>
      </c>
      <c r="AT95" s="13">
        <f>IFERROR(ROUND(AVERAGE(AP95:AS95),1),"")</f>
        <v/>
      </c>
      <c r="AU95" s="13" t="n">
        <v>7.4</v>
      </c>
      <c r="AV95" s="13" t="n">
        <v>7.6</v>
      </c>
      <c r="AW95" s="13" t="n">
        <v>7.6</v>
      </c>
      <c r="AX95" s="13" t="n">
        <v>7.4</v>
      </c>
      <c r="AY95" s="13">
        <f>IFERROR(ROUND(AVERAGE(AU95:AX95),1),"")</f>
        <v/>
      </c>
      <c r="AZ95" s="13">
        <f>ROUND(0.19*N(Q95)+0.17*N(V95)+0.17*N(AA95)+0.1*N(AF95)+0.09*N(AK95)+0.12*N(AT95)+0.16*N(AY95),1)</f>
        <v/>
      </c>
      <c r="BA95" s="13" t="inlineStr">
        <is>
          <t>1M</t>
        </is>
      </c>
      <c r="BB95" s="13" t="n"/>
      <c r="BC95" s="13" t="inlineStr"/>
      <c r="BD95" s="13" t="inlineStr"/>
      <c r="BE95" s="13" t="inlineStr">
        <is>
          <t>high</t>
        </is>
      </c>
      <c r="BF95" s="13" t="n">
        <v>4</v>
      </c>
      <c r="BG95" s="13" t="n">
        <v>4</v>
      </c>
      <c r="BH95" s="13" t="inlineStr">
        <is>
          <t>Cheap open-weight multimodal, high throughput via Groq</t>
        </is>
      </c>
      <c r="BI95" s="13" t="inlineStr">
        <is>
          <t>Frontier reasoning</t>
        </is>
      </c>
      <c r="BJ95" s="15" t="inlineStr">
        <is>
          <t>M</t>
        </is>
      </c>
      <c r="BK95" s="13" t="inlineStr">
        <is>
          <t>~400B/17B-active MoE; family-inherited estimate (scaled from flagship); verify before HIGH-stakes routing</t>
        </is>
      </c>
      <c r="BL95" s="13" t="inlineStr">
        <is>
          <t>2026-06-07</t>
        </is>
      </c>
    </row>
    <row r="96">
      <c r="A96" s="13" t="inlineStr">
        <is>
          <t>meta-llama/Llama-4-Scout-17B-16E</t>
        </is>
      </c>
      <c r="B96" s="13" t="inlineStr">
        <is>
          <t>Llama 4 Scout</t>
        </is>
      </c>
      <c r="C96" s="13" t="inlineStr">
        <is>
          <t>Meta</t>
        </is>
      </c>
      <c r="D96" s="13" t="inlineStr">
        <is>
          <t>Llama 4</t>
        </is>
      </c>
      <c r="E96" s="13" t="inlineStr">
        <is>
          <t>scout</t>
        </is>
      </c>
      <c r="F96" s="13" t="inlineStr">
        <is>
          <t>Current</t>
        </is>
      </c>
      <c r="G96" s="13" t="inlineStr">
        <is>
          <t>Open-Weight (long ctx)</t>
        </is>
      </c>
      <c r="H96" s="13" t="inlineStr">
        <is>
          <t>Groq</t>
        </is>
      </c>
      <c r="I96" s="13" t="inlineStr">
        <is>
          <t>Aggregator</t>
        </is>
      </c>
      <c r="J96" s="13" t="inlineStr">
        <is>
          <t>Not-keyed</t>
        </is>
      </c>
      <c r="K96" s="13" t="inlineStr">
        <is>
          <t>metered (not configured)</t>
        </is>
      </c>
      <c r="L96" s="13" t="inlineStr">
        <is>
          <t>No</t>
        </is>
      </c>
      <c r="M96" s="13" t="n">
        <v>7.4</v>
      </c>
      <c r="N96" s="13" t="n">
        <v>7</v>
      </c>
      <c r="O96" s="13" t="n">
        <v>7</v>
      </c>
      <c r="P96" s="13" t="n">
        <v>7.4</v>
      </c>
      <c r="Q96" s="13">
        <f>IFERROR(ROUND(AVERAGE(M96:P96),1),"")</f>
        <v/>
      </c>
      <c r="R96" s="13" t="n">
        <v>7.2</v>
      </c>
      <c r="S96" s="13" t="n">
        <v>6.6</v>
      </c>
      <c r="T96" s="13" t="n">
        <v>6.8</v>
      </c>
      <c r="U96" s="13" t="n">
        <v>7.2</v>
      </c>
      <c r="V96" s="13">
        <f>IFERROR(ROUND(AVERAGE(R96:U96),1),"")</f>
        <v/>
      </c>
      <c r="W96" s="13" t="n">
        <v>7.2</v>
      </c>
      <c r="X96" s="13" t="n">
        <v>7</v>
      </c>
      <c r="Y96" s="13" t="n">
        <v>6.6</v>
      </c>
      <c r="Z96" s="13" t="n">
        <v>7.4</v>
      </c>
      <c r="AA96" s="13">
        <f>IFERROR(ROUND(AVERAGE(W96:Z96),1),"")</f>
        <v/>
      </c>
      <c r="AB96" s="13" t="n">
        <v>7.6</v>
      </c>
      <c r="AC96" s="13" t="n">
        <v>7.6</v>
      </c>
      <c r="AD96" s="13" t="n">
        <v>7.4</v>
      </c>
      <c r="AE96" s="13" t="n">
        <v>7.8</v>
      </c>
      <c r="AF96" s="13">
        <f>IFERROR(ROUND(AVERAGE(AB96:AE96),1),"")</f>
        <v/>
      </c>
      <c r="AG96" s="13" t="n">
        <v>6.8</v>
      </c>
      <c r="AH96" s="13" t="n">
        <v>6.2</v>
      </c>
      <c r="AI96" s="13" t="n">
        <v>7.2</v>
      </c>
      <c r="AJ96" s="13" t="n">
        <v>6.8</v>
      </c>
      <c r="AK96" s="13">
        <f>IFERROR(ROUND(AVERAGE(AG96:AJ96),1),"")</f>
        <v/>
      </c>
      <c r="AL96" s="13" t="n">
        <v>7.6</v>
      </c>
      <c r="AM96" s="13" t="n">
        <v>7.4</v>
      </c>
      <c r="AN96" s="13" t="inlineStr"/>
      <c r="AO96" s="13">
        <f>IFERROR(ROUND(AVERAGE(AL96:AN96),1),"")</f>
        <v/>
      </c>
      <c r="AP96" s="13" t="n">
        <v>9</v>
      </c>
      <c r="AQ96" s="13" t="n">
        <v>9</v>
      </c>
      <c r="AR96" s="13" t="n">
        <v>10</v>
      </c>
      <c r="AS96" s="13" t="n">
        <v>9.199999999999999</v>
      </c>
      <c r="AT96" s="13">
        <f>IFERROR(ROUND(AVERAGE(AP96:AS96),1),"")</f>
        <v/>
      </c>
      <c r="AU96" s="13" t="n">
        <v>7</v>
      </c>
      <c r="AV96" s="13" t="n">
        <v>7.2</v>
      </c>
      <c r="AW96" s="13" t="n">
        <v>7.4</v>
      </c>
      <c r="AX96" s="13" t="n">
        <v>7</v>
      </c>
      <c r="AY96" s="13">
        <f>IFERROR(ROUND(AVERAGE(AU96:AX96),1),"")</f>
        <v/>
      </c>
      <c r="AZ96" s="13">
        <f>ROUND(0.19*N(Q96)+0.17*N(V96)+0.17*N(AA96)+0.1*N(AF96)+0.09*N(AK96)+0.12*N(AT96)+0.16*N(AY96),1)</f>
        <v/>
      </c>
      <c r="BA96" s="13" t="inlineStr">
        <is>
          <t>10M</t>
        </is>
      </c>
      <c r="BB96" s="13" t="n"/>
      <c r="BC96" s="13" t="inlineStr"/>
      <c r="BD96" s="13" t="inlineStr"/>
      <c r="BE96" s="13" t="inlineStr">
        <is>
          <t>medium</t>
        </is>
      </c>
      <c r="BF96" s="13" t="n">
        <v>3</v>
      </c>
      <c r="BG96" s="13" t="n">
        <v>3</v>
      </c>
      <c r="BH96" s="13" t="inlineStr">
        <is>
          <t>10M-context retrieval over huge inputs, ultra-fast on Groq</t>
        </is>
      </c>
      <c r="BI96" s="13" t="inlineStr">
        <is>
          <t>Hardest reasoning</t>
        </is>
      </c>
      <c r="BJ96" s="15" t="inlineStr">
        <is>
          <t>M</t>
        </is>
      </c>
      <c r="BK96" s="13" t="inlineStr">
        <is>
          <t>109B/17B-active, 10M ctx; family-inherited estimate (scaled from flagship); verify before HIGH-stakes routing</t>
        </is>
      </c>
      <c r="BL96" s="13" t="inlineStr">
        <is>
          <t>2026-06-07</t>
        </is>
      </c>
    </row>
    <row r="97">
      <c r="A97" s="13" t="inlineStr">
        <is>
          <t>meta-llama/Llama-4-Scout-17B-16E</t>
        </is>
      </c>
      <c r="B97" s="13" t="inlineStr">
        <is>
          <t>Llama 4 Scout</t>
        </is>
      </c>
      <c r="C97" s="13" t="inlineStr">
        <is>
          <t>Meta</t>
        </is>
      </c>
      <c r="D97" s="13" t="inlineStr">
        <is>
          <t>Llama 4</t>
        </is>
      </c>
      <c r="E97" s="13" t="inlineStr">
        <is>
          <t>scout</t>
        </is>
      </c>
      <c r="F97" s="13" t="inlineStr">
        <is>
          <t>Current</t>
        </is>
      </c>
      <c r="G97" s="13" t="inlineStr">
        <is>
          <t>Open-Weight (long ctx)</t>
        </is>
      </c>
      <c r="H97" s="13" t="inlineStr">
        <is>
          <t>Together AI</t>
        </is>
      </c>
      <c r="I97" s="13" t="inlineStr">
        <is>
          <t>Aggregator</t>
        </is>
      </c>
      <c r="J97" s="13" t="inlineStr">
        <is>
          <t>Not-keyed</t>
        </is>
      </c>
      <c r="K97" s="13" t="inlineStr">
        <is>
          <t>metered (not configured)</t>
        </is>
      </c>
      <c r="L97" s="13" t="inlineStr">
        <is>
          <t>No</t>
        </is>
      </c>
      <c r="M97" s="13" t="n">
        <v>7.4</v>
      </c>
      <c r="N97" s="13" t="n">
        <v>7</v>
      </c>
      <c r="O97" s="13" t="n">
        <v>7</v>
      </c>
      <c r="P97" s="13" t="n">
        <v>7.4</v>
      </c>
      <c r="Q97" s="13">
        <f>IFERROR(ROUND(AVERAGE(M97:P97),1),"")</f>
        <v/>
      </c>
      <c r="R97" s="13" t="n">
        <v>7.2</v>
      </c>
      <c r="S97" s="13" t="n">
        <v>6.6</v>
      </c>
      <c r="T97" s="13" t="n">
        <v>6.8</v>
      </c>
      <c r="U97" s="13" t="n">
        <v>7.2</v>
      </c>
      <c r="V97" s="13">
        <f>IFERROR(ROUND(AVERAGE(R97:U97),1),"")</f>
        <v/>
      </c>
      <c r="W97" s="13" t="n">
        <v>7.2</v>
      </c>
      <c r="X97" s="13" t="n">
        <v>7</v>
      </c>
      <c r="Y97" s="13" t="n">
        <v>6.6</v>
      </c>
      <c r="Z97" s="13" t="n">
        <v>7.4</v>
      </c>
      <c r="AA97" s="13">
        <f>IFERROR(ROUND(AVERAGE(W97:Z97),1),"")</f>
        <v/>
      </c>
      <c r="AB97" s="13" t="n">
        <v>7.6</v>
      </c>
      <c r="AC97" s="13" t="n">
        <v>7.6</v>
      </c>
      <c r="AD97" s="13" t="n">
        <v>7.4</v>
      </c>
      <c r="AE97" s="13" t="n">
        <v>7.8</v>
      </c>
      <c r="AF97" s="13">
        <f>IFERROR(ROUND(AVERAGE(AB97:AE97),1),"")</f>
        <v/>
      </c>
      <c r="AG97" s="13" t="n">
        <v>6.8</v>
      </c>
      <c r="AH97" s="13" t="n">
        <v>6.2</v>
      </c>
      <c r="AI97" s="13" t="n">
        <v>7.2</v>
      </c>
      <c r="AJ97" s="13" t="n">
        <v>6.8</v>
      </c>
      <c r="AK97" s="13">
        <f>IFERROR(ROUND(AVERAGE(AG97:AJ97),1),"")</f>
        <v/>
      </c>
      <c r="AL97" s="13" t="n">
        <v>7.6</v>
      </c>
      <c r="AM97" s="13" t="n">
        <v>7.4</v>
      </c>
      <c r="AN97" s="13" t="inlineStr"/>
      <c r="AO97" s="13">
        <f>IFERROR(ROUND(AVERAGE(AL97:AN97),1),"")</f>
        <v/>
      </c>
      <c r="AP97" s="13" t="n">
        <v>9</v>
      </c>
      <c r="AQ97" s="13" t="n">
        <v>9</v>
      </c>
      <c r="AR97" s="13" t="n">
        <v>10</v>
      </c>
      <c r="AS97" s="13" t="n">
        <v>9.199999999999999</v>
      </c>
      <c r="AT97" s="13">
        <f>IFERROR(ROUND(AVERAGE(AP97:AS97),1),"")</f>
        <v/>
      </c>
      <c r="AU97" s="13" t="n">
        <v>7</v>
      </c>
      <c r="AV97" s="13" t="n">
        <v>7.2</v>
      </c>
      <c r="AW97" s="13" t="n">
        <v>7.4</v>
      </c>
      <c r="AX97" s="13" t="n">
        <v>7</v>
      </c>
      <c r="AY97" s="13">
        <f>IFERROR(ROUND(AVERAGE(AU97:AX97),1),"")</f>
        <v/>
      </c>
      <c r="AZ97" s="13">
        <f>ROUND(0.19*N(Q97)+0.17*N(V97)+0.17*N(AA97)+0.1*N(AF97)+0.09*N(AK97)+0.12*N(AT97)+0.16*N(AY97),1)</f>
        <v/>
      </c>
      <c r="BA97" s="13" t="inlineStr">
        <is>
          <t>10M</t>
        </is>
      </c>
      <c r="BB97" s="13" t="n"/>
      <c r="BC97" s="13" t="inlineStr"/>
      <c r="BD97" s="13" t="inlineStr"/>
      <c r="BE97" s="13" t="inlineStr">
        <is>
          <t>medium</t>
        </is>
      </c>
      <c r="BF97" s="13" t="n">
        <v>3</v>
      </c>
      <c r="BG97" s="13" t="n">
        <v>3</v>
      </c>
      <c r="BH97" s="13" t="inlineStr">
        <is>
          <t>10M-context retrieval over huge inputs, ultra-fast on Groq</t>
        </is>
      </c>
      <c r="BI97" s="13" t="inlineStr">
        <is>
          <t>Hardest reasoning</t>
        </is>
      </c>
      <c r="BJ97" s="15" t="inlineStr">
        <is>
          <t>M</t>
        </is>
      </c>
      <c r="BK97" s="13" t="inlineStr">
        <is>
          <t>109B/17B-active, 10M ctx; family-inherited estimate (scaled from flagship); verify before HIGH-stakes routing</t>
        </is>
      </c>
      <c r="BL97" s="13" t="inlineStr">
        <is>
          <t>2026-06-07</t>
        </is>
      </c>
    </row>
    <row r="98">
      <c r="A98" s="13" t="inlineStr">
        <is>
          <t>meta-llama/Llama-4-Scout-17B-16E</t>
        </is>
      </c>
      <c r="B98" s="13" t="inlineStr">
        <is>
          <t>Llama 4 Scout</t>
        </is>
      </c>
      <c r="C98" s="13" t="inlineStr">
        <is>
          <t>Meta</t>
        </is>
      </c>
      <c r="D98" s="13" t="inlineStr">
        <is>
          <t>Llama 4</t>
        </is>
      </c>
      <c r="E98" s="13" t="inlineStr">
        <is>
          <t>scout</t>
        </is>
      </c>
      <c r="F98" s="13" t="inlineStr">
        <is>
          <t>Current</t>
        </is>
      </c>
      <c r="G98" s="13" t="inlineStr">
        <is>
          <t>Open-Weight (long ctx)</t>
        </is>
      </c>
      <c r="H98" s="13" t="inlineStr">
        <is>
          <t>Fireworks AI</t>
        </is>
      </c>
      <c r="I98" s="13" t="inlineStr">
        <is>
          <t>Aggregator</t>
        </is>
      </c>
      <c r="J98" s="13" t="inlineStr">
        <is>
          <t>Not-keyed</t>
        </is>
      </c>
      <c r="K98" s="13" t="inlineStr">
        <is>
          <t>metered (not configured)</t>
        </is>
      </c>
      <c r="L98" s="13" t="inlineStr">
        <is>
          <t>No</t>
        </is>
      </c>
      <c r="M98" s="13" t="n">
        <v>7.4</v>
      </c>
      <c r="N98" s="13" t="n">
        <v>7</v>
      </c>
      <c r="O98" s="13" t="n">
        <v>7</v>
      </c>
      <c r="P98" s="13" t="n">
        <v>7.4</v>
      </c>
      <c r="Q98" s="13">
        <f>IFERROR(ROUND(AVERAGE(M98:P98),1),"")</f>
        <v/>
      </c>
      <c r="R98" s="13" t="n">
        <v>7.2</v>
      </c>
      <c r="S98" s="13" t="n">
        <v>6.6</v>
      </c>
      <c r="T98" s="13" t="n">
        <v>6.8</v>
      </c>
      <c r="U98" s="13" t="n">
        <v>7.2</v>
      </c>
      <c r="V98" s="13">
        <f>IFERROR(ROUND(AVERAGE(R98:U98),1),"")</f>
        <v/>
      </c>
      <c r="W98" s="13" t="n">
        <v>7.2</v>
      </c>
      <c r="X98" s="13" t="n">
        <v>7</v>
      </c>
      <c r="Y98" s="13" t="n">
        <v>6.6</v>
      </c>
      <c r="Z98" s="13" t="n">
        <v>7.4</v>
      </c>
      <c r="AA98" s="13">
        <f>IFERROR(ROUND(AVERAGE(W98:Z98),1),"")</f>
        <v/>
      </c>
      <c r="AB98" s="13" t="n">
        <v>7.6</v>
      </c>
      <c r="AC98" s="13" t="n">
        <v>7.6</v>
      </c>
      <c r="AD98" s="13" t="n">
        <v>7.4</v>
      </c>
      <c r="AE98" s="13" t="n">
        <v>7.8</v>
      </c>
      <c r="AF98" s="13">
        <f>IFERROR(ROUND(AVERAGE(AB98:AE98),1),"")</f>
        <v/>
      </c>
      <c r="AG98" s="13" t="n">
        <v>6.8</v>
      </c>
      <c r="AH98" s="13" t="n">
        <v>6.2</v>
      </c>
      <c r="AI98" s="13" t="n">
        <v>7.2</v>
      </c>
      <c r="AJ98" s="13" t="n">
        <v>6.8</v>
      </c>
      <c r="AK98" s="13">
        <f>IFERROR(ROUND(AVERAGE(AG98:AJ98),1),"")</f>
        <v/>
      </c>
      <c r="AL98" s="13" t="n">
        <v>7.6</v>
      </c>
      <c r="AM98" s="13" t="n">
        <v>7.4</v>
      </c>
      <c r="AN98" s="13" t="inlineStr"/>
      <c r="AO98" s="13">
        <f>IFERROR(ROUND(AVERAGE(AL98:AN98),1),"")</f>
        <v/>
      </c>
      <c r="AP98" s="13" t="n">
        <v>9</v>
      </c>
      <c r="AQ98" s="13" t="n">
        <v>9</v>
      </c>
      <c r="AR98" s="13" t="n">
        <v>10</v>
      </c>
      <c r="AS98" s="13" t="n">
        <v>9.199999999999999</v>
      </c>
      <c r="AT98" s="13">
        <f>IFERROR(ROUND(AVERAGE(AP98:AS98),1),"")</f>
        <v/>
      </c>
      <c r="AU98" s="13" t="n">
        <v>7</v>
      </c>
      <c r="AV98" s="13" t="n">
        <v>7.2</v>
      </c>
      <c r="AW98" s="13" t="n">
        <v>7.4</v>
      </c>
      <c r="AX98" s="13" t="n">
        <v>7</v>
      </c>
      <c r="AY98" s="13">
        <f>IFERROR(ROUND(AVERAGE(AU98:AX98),1),"")</f>
        <v/>
      </c>
      <c r="AZ98" s="13">
        <f>ROUND(0.19*N(Q98)+0.17*N(V98)+0.17*N(AA98)+0.1*N(AF98)+0.09*N(AK98)+0.12*N(AT98)+0.16*N(AY98),1)</f>
        <v/>
      </c>
      <c r="BA98" s="13" t="inlineStr">
        <is>
          <t>10M</t>
        </is>
      </c>
      <c r="BB98" s="13" t="n"/>
      <c r="BC98" s="13" t="inlineStr"/>
      <c r="BD98" s="13" t="inlineStr"/>
      <c r="BE98" s="13" t="inlineStr">
        <is>
          <t>medium</t>
        </is>
      </c>
      <c r="BF98" s="13" t="n">
        <v>3</v>
      </c>
      <c r="BG98" s="13" t="n">
        <v>3</v>
      </c>
      <c r="BH98" s="13" t="inlineStr">
        <is>
          <t>10M-context retrieval over huge inputs, ultra-fast on Groq</t>
        </is>
      </c>
      <c r="BI98" s="13" t="inlineStr">
        <is>
          <t>Hardest reasoning</t>
        </is>
      </c>
      <c r="BJ98" s="15" t="inlineStr">
        <is>
          <t>M</t>
        </is>
      </c>
      <c r="BK98" s="13" t="inlineStr">
        <is>
          <t>109B/17B-active, 10M ctx; family-inherited estimate (scaled from flagship); verify before HIGH-stakes routing</t>
        </is>
      </c>
      <c r="BL98" s="13" t="inlineStr">
        <is>
          <t>2026-06-07</t>
        </is>
      </c>
    </row>
    <row r="99">
      <c r="A99" s="13" t="inlineStr">
        <is>
          <t>meta-llama/Llama-4-Scout-17B-16E</t>
        </is>
      </c>
      <c r="B99" s="13" t="inlineStr">
        <is>
          <t>Llama 4 Scout</t>
        </is>
      </c>
      <c r="C99" s="13" t="inlineStr">
        <is>
          <t>Meta</t>
        </is>
      </c>
      <c r="D99" s="13" t="inlineStr">
        <is>
          <t>Llama 4</t>
        </is>
      </c>
      <c r="E99" s="13" t="inlineStr">
        <is>
          <t>scout</t>
        </is>
      </c>
      <c r="F99" s="13" t="inlineStr">
        <is>
          <t>Current</t>
        </is>
      </c>
      <c r="G99" s="13" t="inlineStr">
        <is>
          <t>Open-Weight (long ctx)</t>
        </is>
      </c>
      <c r="H99" s="13" t="inlineStr">
        <is>
          <t>Perplexity API</t>
        </is>
      </c>
      <c r="I99" s="13" t="inlineStr">
        <is>
          <t>Aggregator</t>
        </is>
      </c>
      <c r="J99" s="13" t="inlineStr">
        <is>
          <t>Not-keyed</t>
        </is>
      </c>
      <c r="K99" s="13" t="inlineStr">
        <is>
          <t>metered (not configured)</t>
        </is>
      </c>
      <c r="L99" s="13" t="inlineStr">
        <is>
          <t>No</t>
        </is>
      </c>
      <c r="M99" s="13" t="n">
        <v>7.4</v>
      </c>
      <c r="N99" s="13" t="n">
        <v>7</v>
      </c>
      <c r="O99" s="13" t="n">
        <v>7</v>
      </c>
      <c r="P99" s="13" t="n">
        <v>7.4</v>
      </c>
      <c r="Q99" s="13">
        <f>IFERROR(ROUND(AVERAGE(M99:P99),1),"")</f>
        <v/>
      </c>
      <c r="R99" s="13" t="n">
        <v>7.2</v>
      </c>
      <c r="S99" s="13" t="n">
        <v>6.6</v>
      </c>
      <c r="T99" s="13" t="n">
        <v>6.8</v>
      </c>
      <c r="U99" s="13" t="n">
        <v>7.2</v>
      </c>
      <c r="V99" s="13">
        <f>IFERROR(ROUND(AVERAGE(R99:U99),1),"")</f>
        <v/>
      </c>
      <c r="W99" s="13" t="n">
        <v>7.2</v>
      </c>
      <c r="X99" s="13" t="n">
        <v>7</v>
      </c>
      <c r="Y99" s="13" t="n">
        <v>6.6</v>
      </c>
      <c r="Z99" s="13" t="n">
        <v>7.4</v>
      </c>
      <c r="AA99" s="13">
        <f>IFERROR(ROUND(AVERAGE(W99:Z99),1),"")</f>
        <v/>
      </c>
      <c r="AB99" s="13" t="n">
        <v>7.6</v>
      </c>
      <c r="AC99" s="13" t="n">
        <v>7.6</v>
      </c>
      <c r="AD99" s="13" t="n">
        <v>7.4</v>
      </c>
      <c r="AE99" s="13" t="n">
        <v>7.8</v>
      </c>
      <c r="AF99" s="13">
        <f>IFERROR(ROUND(AVERAGE(AB99:AE99),1),"")</f>
        <v/>
      </c>
      <c r="AG99" s="13" t="n">
        <v>6.8</v>
      </c>
      <c r="AH99" s="13" t="n">
        <v>6.2</v>
      </c>
      <c r="AI99" s="13" t="n">
        <v>7.2</v>
      </c>
      <c r="AJ99" s="13" t="n">
        <v>6.8</v>
      </c>
      <c r="AK99" s="13">
        <f>IFERROR(ROUND(AVERAGE(AG99:AJ99),1),"")</f>
        <v/>
      </c>
      <c r="AL99" s="13" t="n">
        <v>7.6</v>
      </c>
      <c r="AM99" s="13" t="n">
        <v>7.4</v>
      </c>
      <c r="AN99" s="13" t="inlineStr"/>
      <c r="AO99" s="13">
        <f>IFERROR(ROUND(AVERAGE(AL99:AN99),1),"")</f>
        <v/>
      </c>
      <c r="AP99" s="13" t="n">
        <v>9</v>
      </c>
      <c r="AQ99" s="13" t="n">
        <v>9</v>
      </c>
      <c r="AR99" s="13" t="n">
        <v>10</v>
      </c>
      <c r="AS99" s="13" t="n">
        <v>9.199999999999999</v>
      </c>
      <c r="AT99" s="13">
        <f>IFERROR(ROUND(AVERAGE(AP99:AS99),1),"")</f>
        <v/>
      </c>
      <c r="AU99" s="13" t="n">
        <v>7</v>
      </c>
      <c r="AV99" s="13" t="n">
        <v>7.2</v>
      </c>
      <c r="AW99" s="13" t="n">
        <v>7.4</v>
      </c>
      <c r="AX99" s="13" t="n">
        <v>7</v>
      </c>
      <c r="AY99" s="13">
        <f>IFERROR(ROUND(AVERAGE(AU99:AX99),1),"")</f>
        <v/>
      </c>
      <c r="AZ99" s="13">
        <f>ROUND(0.19*N(Q99)+0.17*N(V99)+0.17*N(AA99)+0.1*N(AF99)+0.09*N(AK99)+0.12*N(AT99)+0.16*N(AY99),1)</f>
        <v/>
      </c>
      <c r="BA99" s="13" t="inlineStr">
        <is>
          <t>10M</t>
        </is>
      </c>
      <c r="BB99" s="13" t="n"/>
      <c r="BC99" s="13" t="inlineStr"/>
      <c r="BD99" s="13" t="inlineStr"/>
      <c r="BE99" s="13" t="inlineStr">
        <is>
          <t>medium</t>
        </is>
      </c>
      <c r="BF99" s="13" t="n">
        <v>3</v>
      </c>
      <c r="BG99" s="13" t="n">
        <v>3</v>
      </c>
      <c r="BH99" s="13" t="inlineStr">
        <is>
          <t>10M-context retrieval over huge inputs, ultra-fast on Groq</t>
        </is>
      </c>
      <c r="BI99" s="13" t="inlineStr">
        <is>
          <t>Hardest reasoning</t>
        </is>
      </c>
      <c r="BJ99" s="15" t="inlineStr">
        <is>
          <t>M</t>
        </is>
      </c>
      <c r="BK99" s="13" t="inlineStr">
        <is>
          <t>109B/17B-active, 10M ctx; family-inherited estimate (scaled from flagship); verify before HIGH-stakes routing</t>
        </is>
      </c>
      <c r="BL99" s="13" t="inlineStr">
        <is>
          <t>2026-06-07</t>
        </is>
      </c>
    </row>
    <row r="100">
      <c r="A100" s="13" t="inlineStr">
        <is>
          <t>meta-llama/Llama-4-Scout-17B-16E</t>
        </is>
      </c>
      <c r="B100" s="13" t="inlineStr">
        <is>
          <t>Llama 4 Scout</t>
        </is>
      </c>
      <c r="C100" s="13" t="inlineStr">
        <is>
          <t>Meta</t>
        </is>
      </c>
      <c r="D100" s="13" t="inlineStr">
        <is>
          <t>Llama 4</t>
        </is>
      </c>
      <c r="E100" s="13" t="inlineStr">
        <is>
          <t>scout</t>
        </is>
      </c>
      <c r="F100" s="13" t="inlineStr">
        <is>
          <t>Current</t>
        </is>
      </c>
      <c r="G100" s="13" t="inlineStr">
        <is>
          <t>Open-Weight (long ctx)</t>
        </is>
      </c>
      <c r="H100" s="13" t="inlineStr">
        <is>
          <t>Amazon Bedrock (Kiro)</t>
        </is>
      </c>
      <c r="I100" s="13" t="inlineStr">
        <is>
          <t>Aggregator</t>
        </is>
      </c>
      <c r="J100" s="13" t="inlineStr">
        <is>
          <t>Installed; login unverified</t>
        </is>
      </c>
      <c r="K100" s="13" t="inlineStr">
        <is>
          <t>metered (not configured)</t>
        </is>
      </c>
      <c r="L100" s="13" t="inlineStr">
        <is>
          <t>No</t>
        </is>
      </c>
      <c r="M100" s="13" t="n">
        <v>7.4</v>
      </c>
      <c r="N100" s="13" t="n">
        <v>7</v>
      </c>
      <c r="O100" s="13" t="n">
        <v>7</v>
      </c>
      <c r="P100" s="13" t="n">
        <v>7.4</v>
      </c>
      <c r="Q100" s="13">
        <f>IFERROR(ROUND(AVERAGE(M100:P100),1),"")</f>
        <v/>
      </c>
      <c r="R100" s="13" t="n">
        <v>7.2</v>
      </c>
      <c r="S100" s="13" t="n">
        <v>6.6</v>
      </c>
      <c r="T100" s="13" t="n">
        <v>6.8</v>
      </c>
      <c r="U100" s="13" t="n">
        <v>7.2</v>
      </c>
      <c r="V100" s="13">
        <f>IFERROR(ROUND(AVERAGE(R100:U100),1),"")</f>
        <v/>
      </c>
      <c r="W100" s="13" t="n">
        <v>7.2</v>
      </c>
      <c r="X100" s="13" t="n">
        <v>7</v>
      </c>
      <c r="Y100" s="13" t="n">
        <v>6.6</v>
      </c>
      <c r="Z100" s="13" t="n">
        <v>7.4</v>
      </c>
      <c r="AA100" s="13">
        <f>IFERROR(ROUND(AVERAGE(W100:Z100),1),"")</f>
        <v/>
      </c>
      <c r="AB100" s="13" t="n">
        <v>7.6</v>
      </c>
      <c r="AC100" s="13" t="n">
        <v>7.6</v>
      </c>
      <c r="AD100" s="13" t="n">
        <v>7.4</v>
      </c>
      <c r="AE100" s="13" t="n">
        <v>7.8</v>
      </c>
      <c r="AF100" s="13">
        <f>IFERROR(ROUND(AVERAGE(AB100:AE100),1),"")</f>
        <v/>
      </c>
      <c r="AG100" s="13" t="n">
        <v>6.8</v>
      </c>
      <c r="AH100" s="13" t="n">
        <v>6.2</v>
      </c>
      <c r="AI100" s="13" t="n">
        <v>7.2</v>
      </c>
      <c r="AJ100" s="13" t="n">
        <v>6.8</v>
      </c>
      <c r="AK100" s="13">
        <f>IFERROR(ROUND(AVERAGE(AG100:AJ100),1),"")</f>
        <v/>
      </c>
      <c r="AL100" s="13" t="n">
        <v>7.6</v>
      </c>
      <c r="AM100" s="13" t="n">
        <v>7.4</v>
      </c>
      <c r="AN100" s="13" t="inlineStr"/>
      <c r="AO100" s="13">
        <f>IFERROR(ROUND(AVERAGE(AL100:AN100),1),"")</f>
        <v/>
      </c>
      <c r="AP100" s="13" t="n">
        <v>9</v>
      </c>
      <c r="AQ100" s="13" t="n">
        <v>9</v>
      </c>
      <c r="AR100" s="13" t="n">
        <v>10</v>
      </c>
      <c r="AS100" s="13" t="n">
        <v>9.199999999999999</v>
      </c>
      <c r="AT100" s="13">
        <f>IFERROR(ROUND(AVERAGE(AP100:AS100),1),"")</f>
        <v/>
      </c>
      <c r="AU100" s="13" t="n">
        <v>7</v>
      </c>
      <c r="AV100" s="13" t="n">
        <v>7.2</v>
      </c>
      <c r="AW100" s="13" t="n">
        <v>7.4</v>
      </c>
      <c r="AX100" s="13" t="n">
        <v>7</v>
      </c>
      <c r="AY100" s="13">
        <f>IFERROR(ROUND(AVERAGE(AU100:AX100),1),"")</f>
        <v/>
      </c>
      <c r="AZ100" s="13">
        <f>ROUND(0.19*N(Q100)+0.17*N(V100)+0.17*N(AA100)+0.1*N(AF100)+0.09*N(AK100)+0.12*N(AT100)+0.16*N(AY100),1)</f>
        <v/>
      </c>
      <c r="BA100" s="13" t="inlineStr">
        <is>
          <t>10M</t>
        </is>
      </c>
      <c r="BB100" s="13" t="n"/>
      <c r="BC100" s="13" t="inlineStr"/>
      <c r="BD100" s="13" t="inlineStr"/>
      <c r="BE100" s="13" t="inlineStr">
        <is>
          <t>medium</t>
        </is>
      </c>
      <c r="BF100" s="13" t="n">
        <v>3</v>
      </c>
      <c r="BG100" s="13" t="n">
        <v>3</v>
      </c>
      <c r="BH100" s="13" t="inlineStr">
        <is>
          <t>10M-context retrieval over huge inputs, ultra-fast on Groq</t>
        </is>
      </c>
      <c r="BI100" s="13" t="inlineStr">
        <is>
          <t>Hardest reasoning</t>
        </is>
      </c>
      <c r="BJ100" s="15" t="inlineStr">
        <is>
          <t>M</t>
        </is>
      </c>
      <c r="BK100" s="13" t="inlineStr">
        <is>
          <t>109B/17B-active, 10M ctx; family-inherited estimate (scaled from flagship); verify before HIGH-stakes routing</t>
        </is>
      </c>
      <c r="BL100" s="13" t="inlineStr">
        <is>
          <t>2026-06-07</t>
        </is>
      </c>
    </row>
    <row r="101">
      <c r="A101" s="13" t="inlineStr">
        <is>
          <t>meta-llama/Llama-4-Scout-17B-16E</t>
        </is>
      </c>
      <c r="B101" s="13" t="inlineStr">
        <is>
          <t>Llama 4 Scout</t>
        </is>
      </c>
      <c r="C101" s="13" t="inlineStr">
        <is>
          <t>Meta</t>
        </is>
      </c>
      <c r="D101" s="13" t="inlineStr">
        <is>
          <t>Llama 4</t>
        </is>
      </c>
      <c r="E101" s="13" t="inlineStr">
        <is>
          <t>scout</t>
        </is>
      </c>
      <c r="F101" s="13" t="inlineStr">
        <is>
          <t>Current</t>
        </is>
      </c>
      <c r="G101" s="13" t="inlineStr">
        <is>
          <t>Open-Weight (long ctx)</t>
        </is>
      </c>
      <c r="H101" s="13" t="inlineStr">
        <is>
          <t>GitHub Models (AI Toolkit)</t>
        </is>
      </c>
      <c r="I101" s="13" t="inlineStr">
        <is>
          <t>Aggregator</t>
        </is>
      </c>
      <c r="J101" s="13" t="inlineStr">
        <is>
          <t>Configured</t>
        </is>
      </c>
      <c r="K101" s="13" t="inlineStr">
        <is>
          <t>subscription_included</t>
        </is>
      </c>
      <c r="L101" s="13" t="inlineStr">
        <is>
          <t>No</t>
        </is>
      </c>
      <c r="M101" s="13" t="n">
        <v>7.4</v>
      </c>
      <c r="N101" s="13" t="n">
        <v>7</v>
      </c>
      <c r="O101" s="13" t="n">
        <v>7</v>
      </c>
      <c r="P101" s="13" t="n">
        <v>7.4</v>
      </c>
      <c r="Q101" s="13">
        <f>IFERROR(ROUND(AVERAGE(M101:P101),1),"")</f>
        <v/>
      </c>
      <c r="R101" s="13" t="n">
        <v>7.2</v>
      </c>
      <c r="S101" s="13" t="n">
        <v>6.6</v>
      </c>
      <c r="T101" s="13" t="n">
        <v>6.8</v>
      </c>
      <c r="U101" s="13" t="n">
        <v>7.2</v>
      </c>
      <c r="V101" s="13">
        <f>IFERROR(ROUND(AVERAGE(R101:U101),1),"")</f>
        <v/>
      </c>
      <c r="W101" s="13" t="n">
        <v>7.2</v>
      </c>
      <c r="X101" s="13" t="n">
        <v>7</v>
      </c>
      <c r="Y101" s="13" t="n">
        <v>6.6</v>
      </c>
      <c r="Z101" s="13" t="n">
        <v>7.4</v>
      </c>
      <c r="AA101" s="13">
        <f>IFERROR(ROUND(AVERAGE(W101:Z101),1),"")</f>
        <v/>
      </c>
      <c r="AB101" s="13" t="n">
        <v>7.6</v>
      </c>
      <c r="AC101" s="13" t="n">
        <v>7.6</v>
      </c>
      <c r="AD101" s="13" t="n">
        <v>7.4</v>
      </c>
      <c r="AE101" s="13" t="n">
        <v>7.8</v>
      </c>
      <c r="AF101" s="13">
        <f>IFERROR(ROUND(AVERAGE(AB101:AE101),1),"")</f>
        <v/>
      </c>
      <c r="AG101" s="13" t="n">
        <v>6.8</v>
      </c>
      <c r="AH101" s="13" t="n">
        <v>6.2</v>
      </c>
      <c r="AI101" s="13" t="n">
        <v>7.2</v>
      </c>
      <c r="AJ101" s="13" t="n">
        <v>6.8</v>
      </c>
      <c r="AK101" s="13">
        <f>IFERROR(ROUND(AVERAGE(AG101:AJ101),1),"")</f>
        <v/>
      </c>
      <c r="AL101" s="13" t="n">
        <v>7.6</v>
      </c>
      <c r="AM101" s="13" t="n">
        <v>7.4</v>
      </c>
      <c r="AN101" s="13" t="inlineStr"/>
      <c r="AO101" s="13">
        <f>IFERROR(ROUND(AVERAGE(AL101:AN101),1),"")</f>
        <v/>
      </c>
      <c r="AP101" s="13" t="n">
        <v>9</v>
      </c>
      <c r="AQ101" s="13" t="n">
        <v>9</v>
      </c>
      <c r="AR101" s="13" t="n">
        <v>10</v>
      </c>
      <c r="AS101" s="13" t="n">
        <v>9.199999999999999</v>
      </c>
      <c r="AT101" s="13">
        <f>IFERROR(ROUND(AVERAGE(AP101:AS101),1),"")</f>
        <v/>
      </c>
      <c r="AU101" s="13" t="n">
        <v>7</v>
      </c>
      <c r="AV101" s="13" t="n">
        <v>7.2</v>
      </c>
      <c r="AW101" s="13" t="n">
        <v>7.4</v>
      </c>
      <c r="AX101" s="13" t="n">
        <v>7</v>
      </c>
      <c r="AY101" s="13">
        <f>IFERROR(ROUND(AVERAGE(AU101:AX101),1),"")</f>
        <v/>
      </c>
      <c r="AZ101" s="13">
        <f>ROUND(0.19*N(Q101)+0.17*N(V101)+0.17*N(AA101)+0.1*N(AF101)+0.09*N(AK101)+0.12*N(AT101)+0.16*N(AY101),1)</f>
        <v/>
      </c>
      <c r="BA101" s="13" t="inlineStr">
        <is>
          <t>10M</t>
        </is>
      </c>
      <c r="BB101" s="13" t="n"/>
      <c r="BC101" s="13" t="inlineStr"/>
      <c r="BD101" s="13" t="inlineStr"/>
      <c r="BE101" s="13" t="inlineStr">
        <is>
          <t>medium</t>
        </is>
      </c>
      <c r="BF101" s="13" t="n">
        <v>3</v>
      </c>
      <c r="BG101" s="13" t="n">
        <v>3</v>
      </c>
      <c r="BH101" s="13" t="inlineStr">
        <is>
          <t>10M-context retrieval over huge inputs, ultra-fast on Groq</t>
        </is>
      </c>
      <c r="BI101" s="13" t="inlineStr">
        <is>
          <t>Hardest reasoning</t>
        </is>
      </c>
      <c r="BJ101" s="15" t="inlineStr">
        <is>
          <t>M</t>
        </is>
      </c>
      <c r="BK101" s="13" t="inlineStr">
        <is>
          <t>109B/17B-active, 10M ctx; family-inherited estimate (scaled from flagship); verify before HIGH-stakes routing</t>
        </is>
      </c>
      <c r="BL101" s="13" t="inlineStr">
        <is>
          <t>2026-06-07</t>
        </is>
      </c>
    </row>
    <row r="102">
      <c r="A102" s="13" t="inlineStr">
        <is>
          <t>meta-llama/Llama-4-Scout-17B-16E</t>
        </is>
      </c>
      <c r="B102" s="13" t="inlineStr">
        <is>
          <t>Llama 4 Scout</t>
        </is>
      </c>
      <c r="C102" s="13" t="inlineStr">
        <is>
          <t>Meta</t>
        </is>
      </c>
      <c r="D102" s="13" t="inlineStr">
        <is>
          <t>Llama 4</t>
        </is>
      </c>
      <c r="E102" s="13" t="inlineStr">
        <is>
          <t>scout</t>
        </is>
      </c>
      <c r="F102" s="13" t="inlineStr">
        <is>
          <t>Current</t>
        </is>
      </c>
      <c r="G102" s="13" t="inlineStr">
        <is>
          <t>Open-Weight (long ctx)</t>
        </is>
      </c>
      <c r="H102" s="13" t="inlineStr">
        <is>
          <t>OpenRouter</t>
        </is>
      </c>
      <c r="I102" s="13" t="inlineStr">
        <is>
          <t>Aggregator</t>
        </is>
      </c>
      <c r="J102" s="13" t="inlineStr">
        <is>
          <t>Not-keyed</t>
        </is>
      </c>
      <c r="K102" s="13" t="inlineStr">
        <is>
          <t>metered (not configured)</t>
        </is>
      </c>
      <c r="L102" s="13" t="inlineStr">
        <is>
          <t>No</t>
        </is>
      </c>
      <c r="M102" s="13" t="n">
        <v>7.4</v>
      </c>
      <c r="N102" s="13" t="n">
        <v>7</v>
      </c>
      <c r="O102" s="13" t="n">
        <v>7</v>
      </c>
      <c r="P102" s="13" t="n">
        <v>7.4</v>
      </c>
      <c r="Q102" s="13">
        <f>IFERROR(ROUND(AVERAGE(M102:P102),1),"")</f>
        <v/>
      </c>
      <c r="R102" s="13" t="n">
        <v>7.2</v>
      </c>
      <c r="S102" s="13" t="n">
        <v>6.6</v>
      </c>
      <c r="T102" s="13" t="n">
        <v>6.8</v>
      </c>
      <c r="U102" s="13" t="n">
        <v>7.2</v>
      </c>
      <c r="V102" s="13">
        <f>IFERROR(ROUND(AVERAGE(R102:U102),1),"")</f>
        <v/>
      </c>
      <c r="W102" s="13" t="n">
        <v>7.2</v>
      </c>
      <c r="X102" s="13" t="n">
        <v>7</v>
      </c>
      <c r="Y102" s="13" t="n">
        <v>6.6</v>
      </c>
      <c r="Z102" s="13" t="n">
        <v>7.4</v>
      </c>
      <c r="AA102" s="13">
        <f>IFERROR(ROUND(AVERAGE(W102:Z102),1),"")</f>
        <v/>
      </c>
      <c r="AB102" s="13" t="n">
        <v>7.6</v>
      </c>
      <c r="AC102" s="13" t="n">
        <v>7.6</v>
      </c>
      <c r="AD102" s="13" t="n">
        <v>7.4</v>
      </c>
      <c r="AE102" s="13" t="n">
        <v>7.8</v>
      </c>
      <c r="AF102" s="13">
        <f>IFERROR(ROUND(AVERAGE(AB102:AE102),1),"")</f>
        <v/>
      </c>
      <c r="AG102" s="13" t="n">
        <v>6.8</v>
      </c>
      <c r="AH102" s="13" t="n">
        <v>6.2</v>
      </c>
      <c r="AI102" s="13" t="n">
        <v>7.2</v>
      </c>
      <c r="AJ102" s="13" t="n">
        <v>6.8</v>
      </c>
      <c r="AK102" s="13">
        <f>IFERROR(ROUND(AVERAGE(AG102:AJ102),1),"")</f>
        <v/>
      </c>
      <c r="AL102" s="13" t="n">
        <v>7.6</v>
      </c>
      <c r="AM102" s="13" t="n">
        <v>7.4</v>
      </c>
      <c r="AN102" s="13" t="inlineStr"/>
      <c r="AO102" s="13">
        <f>IFERROR(ROUND(AVERAGE(AL102:AN102),1),"")</f>
        <v/>
      </c>
      <c r="AP102" s="13" t="n">
        <v>9</v>
      </c>
      <c r="AQ102" s="13" t="n">
        <v>9</v>
      </c>
      <c r="AR102" s="13" t="n">
        <v>10</v>
      </c>
      <c r="AS102" s="13" t="n">
        <v>9.199999999999999</v>
      </c>
      <c r="AT102" s="13">
        <f>IFERROR(ROUND(AVERAGE(AP102:AS102),1),"")</f>
        <v/>
      </c>
      <c r="AU102" s="13" t="n">
        <v>7</v>
      </c>
      <c r="AV102" s="13" t="n">
        <v>7.2</v>
      </c>
      <c r="AW102" s="13" t="n">
        <v>7.4</v>
      </c>
      <c r="AX102" s="13" t="n">
        <v>7</v>
      </c>
      <c r="AY102" s="13">
        <f>IFERROR(ROUND(AVERAGE(AU102:AX102),1),"")</f>
        <v/>
      </c>
      <c r="AZ102" s="13">
        <f>ROUND(0.19*N(Q102)+0.17*N(V102)+0.17*N(AA102)+0.1*N(AF102)+0.09*N(AK102)+0.12*N(AT102)+0.16*N(AY102),1)</f>
        <v/>
      </c>
      <c r="BA102" s="13" t="inlineStr">
        <is>
          <t>10M</t>
        </is>
      </c>
      <c r="BB102" s="13" t="n"/>
      <c r="BC102" s="13" t="inlineStr"/>
      <c r="BD102" s="13" t="inlineStr"/>
      <c r="BE102" s="13" t="inlineStr">
        <is>
          <t>medium</t>
        </is>
      </c>
      <c r="BF102" s="13" t="n">
        <v>3</v>
      </c>
      <c r="BG102" s="13" t="n">
        <v>3</v>
      </c>
      <c r="BH102" s="13" t="inlineStr">
        <is>
          <t>10M-context retrieval over huge inputs, ultra-fast on Groq</t>
        </is>
      </c>
      <c r="BI102" s="13" t="inlineStr">
        <is>
          <t>Hardest reasoning</t>
        </is>
      </c>
      <c r="BJ102" s="15" t="inlineStr">
        <is>
          <t>M</t>
        </is>
      </c>
      <c r="BK102" s="13" t="inlineStr">
        <is>
          <t>109B/17B-active, 10M ctx; family-inherited estimate (scaled from flagship); verify before HIGH-stakes routing</t>
        </is>
      </c>
      <c r="BL102" s="13" t="inlineStr">
        <is>
          <t>2026-06-07</t>
        </is>
      </c>
    </row>
    <row r="103">
      <c r="A103" s="13" t="inlineStr">
        <is>
          <t>meta-llama/Llama-3.1-405B-Instruct</t>
        </is>
      </c>
      <c r="B103" s="13" t="inlineStr">
        <is>
          <t>Llama 3.1 405B</t>
        </is>
      </c>
      <c r="C103" s="13" t="inlineStr">
        <is>
          <t>Meta</t>
        </is>
      </c>
      <c r="D103" s="13" t="inlineStr">
        <is>
          <t>Llama 3.1</t>
        </is>
      </c>
      <c r="E103" s="13" t="inlineStr">
        <is>
          <t>405b</t>
        </is>
      </c>
      <c r="F103" s="13" t="inlineStr">
        <is>
          <t>Legacy</t>
        </is>
      </c>
      <c r="G103" s="13" t="inlineStr">
        <is>
          <t>Open-Weight (large)</t>
        </is>
      </c>
      <c r="H103" s="13" t="inlineStr">
        <is>
          <t>Together AI</t>
        </is>
      </c>
      <c r="I103" s="13" t="inlineStr">
        <is>
          <t>Aggregator</t>
        </is>
      </c>
      <c r="J103" s="13" t="inlineStr">
        <is>
          <t>Not-keyed</t>
        </is>
      </c>
      <c r="K103" s="13" t="inlineStr">
        <is>
          <t>metered (not configured)</t>
        </is>
      </c>
      <c r="L103" s="13" t="inlineStr">
        <is>
          <t>No</t>
        </is>
      </c>
      <c r="M103" s="13" t="n">
        <v>7.6</v>
      </c>
      <c r="N103" s="13" t="n">
        <v>7</v>
      </c>
      <c r="O103" s="13" t="n">
        <v>7</v>
      </c>
      <c r="P103" s="13" t="n">
        <v>7.8</v>
      </c>
      <c r="Q103" s="13">
        <f>IFERROR(ROUND(AVERAGE(M103:P103),1),"")</f>
        <v/>
      </c>
      <c r="R103" s="13" t="n">
        <v>7.4</v>
      </c>
      <c r="S103" s="13" t="n">
        <v>6.6</v>
      </c>
      <c r="T103" s="13" t="n">
        <v>6.8</v>
      </c>
      <c r="U103" s="13" t="n">
        <v>7.4</v>
      </c>
      <c r="V103" s="13">
        <f>IFERROR(ROUND(AVERAGE(R103:U103),1),"")</f>
        <v/>
      </c>
      <c r="W103" s="13" t="n">
        <v>7.2</v>
      </c>
      <c r="X103" s="13" t="n">
        <v>7</v>
      </c>
      <c r="Y103" s="13" t="n">
        <v>6.4</v>
      </c>
      <c r="Z103" s="13" t="n">
        <v>7.4</v>
      </c>
      <c r="AA103" s="13">
        <f>IFERROR(ROUND(AVERAGE(W103:Z103),1),"")</f>
        <v/>
      </c>
      <c r="AB103" s="13" t="n">
        <v>7.8</v>
      </c>
      <c r="AC103" s="13" t="n">
        <v>7.8</v>
      </c>
      <c r="AD103" s="13" t="n">
        <v>7.6</v>
      </c>
      <c r="AE103" s="13" t="n">
        <v>7.8</v>
      </c>
      <c r="AF103" s="13">
        <f>IFERROR(ROUND(AVERAGE(AB103:AE103),1),"")</f>
        <v/>
      </c>
      <c r="AG103" s="13" t="n">
        <v>7</v>
      </c>
      <c r="AH103" s="13" t="n">
        <v>6.4</v>
      </c>
      <c r="AI103" s="13" t="n">
        <v>7.4</v>
      </c>
      <c r="AJ103" s="13" t="n">
        <v>7.2</v>
      </c>
      <c r="AK103" s="13">
        <f>IFERROR(ROUND(AVERAGE(AG103:AJ103),1),"")</f>
        <v/>
      </c>
      <c r="AL103" s="13" t="inlineStr"/>
      <c r="AM103" s="13" t="inlineStr"/>
      <c r="AN103" s="13" t="inlineStr"/>
      <c r="AO103" s="13">
        <f>IFERROR(ROUND(AVERAGE(AL103:AN103),1),"")</f>
        <v/>
      </c>
      <c r="AP103" s="13" t="n">
        <v>6</v>
      </c>
      <c r="AQ103" s="13" t="n">
        <v>6</v>
      </c>
      <c r="AR103" s="13" t="n">
        <v>4</v>
      </c>
      <c r="AS103" s="13" t="n">
        <v>7</v>
      </c>
      <c r="AT103" s="13">
        <f>IFERROR(ROUND(AVERAGE(AP103:AS103),1),"")</f>
        <v/>
      </c>
      <c r="AU103" s="13" t="n">
        <v>7.4</v>
      </c>
      <c r="AV103" s="13" t="n">
        <v>7.6</v>
      </c>
      <c r="AW103" s="13" t="n">
        <v>7.6</v>
      </c>
      <c r="AX103" s="13" t="n">
        <v>7.4</v>
      </c>
      <c r="AY103" s="13">
        <f>IFERROR(ROUND(AVERAGE(AU103:AX103),1),"")</f>
        <v/>
      </c>
      <c r="AZ103" s="13">
        <f>ROUND(0.19*N(Q103)+0.17*N(V103)+0.17*N(AA103)+0.1*N(AF103)+0.09*N(AK103)+0.12*N(AT103)+0.16*N(AY103),1)</f>
        <v/>
      </c>
      <c r="BA103" s="13" t="inlineStr">
        <is>
          <t>128K</t>
        </is>
      </c>
      <c r="BB103" s="13" t="n"/>
      <c r="BC103" s="13" t="inlineStr"/>
      <c r="BD103" s="13" t="inlineStr"/>
      <c r="BE103" s="13" t="inlineStr">
        <is>
          <t>high</t>
        </is>
      </c>
      <c r="BF103" s="13" t="n">
        <v>4</v>
      </c>
      <c r="BG103" s="13" t="n">
        <v>4</v>
      </c>
      <c r="BH103" s="13" t="inlineStr">
        <is>
          <t>Largest open-weight 3.1; self-host quality</t>
        </is>
      </c>
      <c r="BI103" s="13" t="inlineStr">
        <is>
          <t>Latency-sensitive</t>
        </is>
      </c>
      <c r="BJ103" s="15" t="inlineStr">
        <is>
          <t>M</t>
        </is>
      </c>
      <c r="BK103" s="13" t="inlineStr">
        <is>
          <t>Best-quality Llama 3.1; family-inherited estimate (scaled from flagship); verify before HIGH-stakes routing</t>
        </is>
      </c>
      <c r="BL103" s="13" t="inlineStr">
        <is>
          <t>2026-06-07</t>
        </is>
      </c>
    </row>
    <row r="104">
      <c r="A104" s="13" t="inlineStr">
        <is>
          <t>meta-llama/Llama-3.1-405B-Instruct</t>
        </is>
      </c>
      <c r="B104" s="13" t="inlineStr">
        <is>
          <t>Llama 3.1 405B</t>
        </is>
      </c>
      <c r="C104" s="13" t="inlineStr">
        <is>
          <t>Meta</t>
        </is>
      </c>
      <c r="D104" s="13" t="inlineStr">
        <is>
          <t>Llama 3.1</t>
        </is>
      </c>
      <c r="E104" s="13" t="inlineStr">
        <is>
          <t>405b</t>
        </is>
      </c>
      <c r="F104" s="13" t="inlineStr">
        <is>
          <t>Legacy</t>
        </is>
      </c>
      <c r="G104" s="13" t="inlineStr">
        <is>
          <t>Open-Weight (large)</t>
        </is>
      </c>
      <c r="H104" s="13" t="inlineStr">
        <is>
          <t>Amazon Bedrock (Kiro)</t>
        </is>
      </c>
      <c r="I104" s="13" t="inlineStr">
        <is>
          <t>Aggregator</t>
        </is>
      </c>
      <c r="J104" s="13" t="inlineStr">
        <is>
          <t>Installed; login unverified</t>
        </is>
      </c>
      <c r="K104" s="13" t="inlineStr">
        <is>
          <t>metered (not configured)</t>
        </is>
      </c>
      <c r="L104" s="13" t="inlineStr">
        <is>
          <t>No</t>
        </is>
      </c>
      <c r="M104" s="13" t="n">
        <v>7.6</v>
      </c>
      <c r="N104" s="13" t="n">
        <v>7</v>
      </c>
      <c r="O104" s="13" t="n">
        <v>7</v>
      </c>
      <c r="P104" s="13" t="n">
        <v>7.8</v>
      </c>
      <c r="Q104" s="13">
        <f>IFERROR(ROUND(AVERAGE(M104:P104),1),"")</f>
        <v/>
      </c>
      <c r="R104" s="13" t="n">
        <v>7.4</v>
      </c>
      <c r="S104" s="13" t="n">
        <v>6.6</v>
      </c>
      <c r="T104" s="13" t="n">
        <v>6.8</v>
      </c>
      <c r="U104" s="13" t="n">
        <v>7.4</v>
      </c>
      <c r="V104" s="13">
        <f>IFERROR(ROUND(AVERAGE(R104:U104),1),"")</f>
        <v/>
      </c>
      <c r="W104" s="13" t="n">
        <v>7.2</v>
      </c>
      <c r="X104" s="13" t="n">
        <v>7</v>
      </c>
      <c r="Y104" s="13" t="n">
        <v>6.4</v>
      </c>
      <c r="Z104" s="13" t="n">
        <v>7.4</v>
      </c>
      <c r="AA104" s="13">
        <f>IFERROR(ROUND(AVERAGE(W104:Z104),1),"")</f>
        <v/>
      </c>
      <c r="AB104" s="13" t="n">
        <v>7.8</v>
      </c>
      <c r="AC104" s="13" t="n">
        <v>7.8</v>
      </c>
      <c r="AD104" s="13" t="n">
        <v>7.6</v>
      </c>
      <c r="AE104" s="13" t="n">
        <v>7.8</v>
      </c>
      <c r="AF104" s="13">
        <f>IFERROR(ROUND(AVERAGE(AB104:AE104),1),"")</f>
        <v/>
      </c>
      <c r="AG104" s="13" t="n">
        <v>7</v>
      </c>
      <c r="AH104" s="13" t="n">
        <v>6.4</v>
      </c>
      <c r="AI104" s="13" t="n">
        <v>7.4</v>
      </c>
      <c r="AJ104" s="13" t="n">
        <v>7.2</v>
      </c>
      <c r="AK104" s="13">
        <f>IFERROR(ROUND(AVERAGE(AG104:AJ104),1),"")</f>
        <v/>
      </c>
      <c r="AL104" s="13" t="inlineStr"/>
      <c r="AM104" s="13" t="inlineStr"/>
      <c r="AN104" s="13" t="inlineStr"/>
      <c r="AO104" s="13">
        <f>IFERROR(ROUND(AVERAGE(AL104:AN104),1),"")</f>
        <v/>
      </c>
      <c r="AP104" s="13" t="n">
        <v>6</v>
      </c>
      <c r="AQ104" s="13" t="n">
        <v>6</v>
      </c>
      <c r="AR104" s="13" t="n">
        <v>4</v>
      </c>
      <c r="AS104" s="13" t="n">
        <v>7</v>
      </c>
      <c r="AT104" s="13">
        <f>IFERROR(ROUND(AVERAGE(AP104:AS104),1),"")</f>
        <v/>
      </c>
      <c r="AU104" s="13" t="n">
        <v>7.4</v>
      </c>
      <c r="AV104" s="13" t="n">
        <v>7.6</v>
      </c>
      <c r="AW104" s="13" t="n">
        <v>7.6</v>
      </c>
      <c r="AX104" s="13" t="n">
        <v>7.4</v>
      </c>
      <c r="AY104" s="13">
        <f>IFERROR(ROUND(AVERAGE(AU104:AX104),1),"")</f>
        <v/>
      </c>
      <c r="AZ104" s="13">
        <f>ROUND(0.19*N(Q104)+0.17*N(V104)+0.17*N(AA104)+0.1*N(AF104)+0.09*N(AK104)+0.12*N(AT104)+0.16*N(AY104),1)</f>
        <v/>
      </c>
      <c r="BA104" s="13" t="inlineStr">
        <is>
          <t>128K</t>
        </is>
      </c>
      <c r="BB104" s="13" t="n"/>
      <c r="BC104" s="13" t="inlineStr"/>
      <c r="BD104" s="13" t="inlineStr"/>
      <c r="BE104" s="13" t="inlineStr">
        <is>
          <t>high</t>
        </is>
      </c>
      <c r="BF104" s="13" t="n">
        <v>4</v>
      </c>
      <c r="BG104" s="13" t="n">
        <v>4</v>
      </c>
      <c r="BH104" s="13" t="inlineStr">
        <is>
          <t>Largest open-weight 3.1; self-host quality</t>
        </is>
      </c>
      <c r="BI104" s="13" t="inlineStr">
        <is>
          <t>Latency-sensitive</t>
        </is>
      </c>
      <c r="BJ104" s="15" t="inlineStr">
        <is>
          <t>M</t>
        </is>
      </c>
      <c r="BK104" s="13" t="inlineStr">
        <is>
          <t>Best-quality Llama 3.1; family-inherited estimate (scaled from flagship); verify before HIGH-stakes routing</t>
        </is>
      </c>
      <c r="BL104" s="13" t="inlineStr">
        <is>
          <t>2026-06-07</t>
        </is>
      </c>
    </row>
    <row r="105">
      <c r="A105" s="13" t="inlineStr">
        <is>
          <t>meta-llama/Llama-3.1-405B-Instruct</t>
        </is>
      </c>
      <c r="B105" s="13" t="inlineStr">
        <is>
          <t>Llama 3.1 405B</t>
        </is>
      </c>
      <c r="C105" s="13" t="inlineStr">
        <is>
          <t>Meta</t>
        </is>
      </c>
      <c r="D105" s="13" t="inlineStr">
        <is>
          <t>Llama 3.1</t>
        </is>
      </c>
      <c r="E105" s="13" t="inlineStr">
        <is>
          <t>405b</t>
        </is>
      </c>
      <c r="F105" s="13" t="inlineStr">
        <is>
          <t>Legacy</t>
        </is>
      </c>
      <c r="G105" s="13" t="inlineStr">
        <is>
          <t>Open-Weight (large)</t>
        </is>
      </c>
      <c r="H105" s="13" t="inlineStr">
        <is>
          <t>OpenRouter</t>
        </is>
      </c>
      <c r="I105" s="13" t="inlineStr">
        <is>
          <t>Aggregator</t>
        </is>
      </c>
      <c r="J105" s="13" t="inlineStr">
        <is>
          <t>Not-keyed</t>
        </is>
      </c>
      <c r="K105" s="13" t="inlineStr">
        <is>
          <t>metered (not configured)</t>
        </is>
      </c>
      <c r="L105" s="13" t="inlineStr">
        <is>
          <t>No</t>
        </is>
      </c>
      <c r="M105" s="13" t="n">
        <v>7.6</v>
      </c>
      <c r="N105" s="13" t="n">
        <v>7</v>
      </c>
      <c r="O105" s="13" t="n">
        <v>7</v>
      </c>
      <c r="P105" s="13" t="n">
        <v>7.8</v>
      </c>
      <c r="Q105" s="13">
        <f>IFERROR(ROUND(AVERAGE(M105:P105),1),"")</f>
        <v/>
      </c>
      <c r="R105" s="13" t="n">
        <v>7.4</v>
      </c>
      <c r="S105" s="13" t="n">
        <v>6.6</v>
      </c>
      <c r="T105" s="13" t="n">
        <v>6.8</v>
      </c>
      <c r="U105" s="13" t="n">
        <v>7.4</v>
      </c>
      <c r="V105" s="13">
        <f>IFERROR(ROUND(AVERAGE(R105:U105),1),"")</f>
        <v/>
      </c>
      <c r="W105" s="13" t="n">
        <v>7.2</v>
      </c>
      <c r="X105" s="13" t="n">
        <v>7</v>
      </c>
      <c r="Y105" s="13" t="n">
        <v>6.4</v>
      </c>
      <c r="Z105" s="13" t="n">
        <v>7.4</v>
      </c>
      <c r="AA105" s="13">
        <f>IFERROR(ROUND(AVERAGE(W105:Z105),1),"")</f>
        <v/>
      </c>
      <c r="AB105" s="13" t="n">
        <v>7.8</v>
      </c>
      <c r="AC105" s="13" t="n">
        <v>7.8</v>
      </c>
      <c r="AD105" s="13" t="n">
        <v>7.6</v>
      </c>
      <c r="AE105" s="13" t="n">
        <v>7.8</v>
      </c>
      <c r="AF105" s="13">
        <f>IFERROR(ROUND(AVERAGE(AB105:AE105),1),"")</f>
        <v/>
      </c>
      <c r="AG105" s="13" t="n">
        <v>7</v>
      </c>
      <c r="AH105" s="13" t="n">
        <v>6.4</v>
      </c>
      <c r="AI105" s="13" t="n">
        <v>7.4</v>
      </c>
      <c r="AJ105" s="13" t="n">
        <v>7.2</v>
      </c>
      <c r="AK105" s="13">
        <f>IFERROR(ROUND(AVERAGE(AG105:AJ105),1),"")</f>
        <v/>
      </c>
      <c r="AL105" s="13" t="inlineStr"/>
      <c r="AM105" s="13" t="inlineStr"/>
      <c r="AN105" s="13" t="inlineStr"/>
      <c r="AO105" s="13">
        <f>IFERROR(ROUND(AVERAGE(AL105:AN105),1),"")</f>
        <v/>
      </c>
      <c r="AP105" s="13" t="n">
        <v>6</v>
      </c>
      <c r="AQ105" s="13" t="n">
        <v>6</v>
      </c>
      <c r="AR105" s="13" t="n">
        <v>4</v>
      </c>
      <c r="AS105" s="13" t="n">
        <v>7</v>
      </c>
      <c r="AT105" s="13">
        <f>IFERROR(ROUND(AVERAGE(AP105:AS105),1),"")</f>
        <v/>
      </c>
      <c r="AU105" s="13" t="n">
        <v>7.4</v>
      </c>
      <c r="AV105" s="13" t="n">
        <v>7.6</v>
      </c>
      <c r="AW105" s="13" t="n">
        <v>7.6</v>
      </c>
      <c r="AX105" s="13" t="n">
        <v>7.4</v>
      </c>
      <c r="AY105" s="13">
        <f>IFERROR(ROUND(AVERAGE(AU105:AX105),1),"")</f>
        <v/>
      </c>
      <c r="AZ105" s="13">
        <f>ROUND(0.19*N(Q105)+0.17*N(V105)+0.17*N(AA105)+0.1*N(AF105)+0.09*N(AK105)+0.12*N(AT105)+0.16*N(AY105),1)</f>
        <v/>
      </c>
      <c r="BA105" s="13" t="inlineStr">
        <is>
          <t>128K</t>
        </is>
      </c>
      <c r="BB105" s="13" t="n"/>
      <c r="BC105" s="13" t="inlineStr"/>
      <c r="BD105" s="13" t="inlineStr"/>
      <c r="BE105" s="13" t="inlineStr">
        <is>
          <t>high</t>
        </is>
      </c>
      <c r="BF105" s="13" t="n">
        <v>4</v>
      </c>
      <c r="BG105" s="13" t="n">
        <v>4</v>
      </c>
      <c r="BH105" s="13" t="inlineStr">
        <is>
          <t>Largest open-weight 3.1; self-host quality</t>
        </is>
      </c>
      <c r="BI105" s="13" t="inlineStr">
        <is>
          <t>Latency-sensitive</t>
        </is>
      </c>
      <c r="BJ105" s="15" t="inlineStr">
        <is>
          <t>M</t>
        </is>
      </c>
      <c r="BK105" s="13" t="inlineStr">
        <is>
          <t>Best-quality Llama 3.1; family-inherited estimate (scaled from flagship); verify before HIGH-stakes routing</t>
        </is>
      </c>
      <c r="BL105" s="13" t="inlineStr">
        <is>
          <t>2026-06-07</t>
        </is>
      </c>
    </row>
    <row r="106">
      <c r="A106" s="13" t="inlineStr">
        <is>
          <t>meta-llama/Llama-3.3-70B-Instruct</t>
        </is>
      </c>
      <c r="B106" s="13" t="inlineStr">
        <is>
          <t>Llama 3.3 70B</t>
        </is>
      </c>
      <c r="C106" s="13" t="inlineStr">
        <is>
          <t>Meta</t>
        </is>
      </c>
      <c r="D106" s="13" t="inlineStr">
        <is>
          <t>Llama 3.3</t>
        </is>
      </c>
      <c r="E106" s="13" t="inlineStr">
        <is>
          <t>70b</t>
        </is>
      </c>
      <c r="F106" s="13" t="inlineStr">
        <is>
          <t>Legacy</t>
        </is>
      </c>
      <c r="G106" s="13" t="inlineStr">
        <is>
          <t>Open-Weight (mid)</t>
        </is>
      </c>
      <c r="H106" s="13" t="inlineStr">
        <is>
          <t>Groq</t>
        </is>
      </c>
      <c r="I106" s="13" t="inlineStr">
        <is>
          <t>Aggregator</t>
        </is>
      </c>
      <c r="J106" s="13" t="inlineStr">
        <is>
          <t>Not-keyed</t>
        </is>
      </c>
      <c r="K106" s="13" t="inlineStr">
        <is>
          <t>metered (not configured)</t>
        </is>
      </c>
      <c r="L106" s="13" t="inlineStr">
        <is>
          <t>No</t>
        </is>
      </c>
      <c r="M106" s="13" t="n">
        <v>7.2</v>
      </c>
      <c r="N106" s="13" t="n">
        <v>6.6</v>
      </c>
      <c r="O106" s="13" t="n">
        <v>6.6</v>
      </c>
      <c r="P106" s="13" t="n">
        <v>7.2</v>
      </c>
      <c r="Q106" s="13">
        <f>IFERROR(ROUND(AVERAGE(M106:P106),1),"")</f>
        <v/>
      </c>
      <c r="R106" s="13" t="n">
        <v>7</v>
      </c>
      <c r="S106" s="13" t="n">
        <v>6.2</v>
      </c>
      <c r="T106" s="13" t="n">
        <v>6.6</v>
      </c>
      <c r="U106" s="13" t="n">
        <v>7</v>
      </c>
      <c r="V106" s="13">
        <f>IFERROR(ROUND(AVERAGE(R106:U106),1),"")</f>
        <v/>
      </c>
      <c r="W106" s="13" t="n">
        <v>7</v>
      </c>
      <c r="X106" s="13" t="n">
        <v>6.6</v>
      </c>
      <c r="Y106" s="13" t="n">
        <v>6.2</v>
      </c>
      <c r="Z106" s="13" t="n">
        <v>7.2</v>
      </c>
      <c r="AA106" s="13">
        <f>IFERROR(ROUND(AVERAGE(W106:Z106),1),"")</f>
        <v/>
      </c>
      <c r="AB106" s="13" t="n">
        <v>7.4</v>
      </c>
      <c r="AC106" s="13" t="n">
        <v>7.4</v>
      </c>
      <c r="AD106" s="13" t="n">
        <v>7.2</v>
      </c>
      <c r="AE106" s="13" t="n">
        <v>7.6</v>
      </c>
      <c r="AF106" s="13">
        <f>IFERROR(ROUND(AVERAGE(AB106:AE106),1),"")</f>
        <v/>
      </c>
      <c r="AG106" s="13" t="n">
        <v>6.6</v>
      </c>
      <c r="AH106" s="13" t="n">
        <v>6</v>
      </c>
      <c r="AI106" s="13" t="n">
        <v>7</v>
      </c>
      <c r="AJ106" s="13" t="n">
        <v>6.8</v>
      </c>
      <c r="AK106" s="13">
        <f>IFERROR(ROUND(AVERAGE(AG106:AJ106),1),"")</f>
        <v/>
      </c>
      <c r="AL106" s="13" t="inlineStr"/>
      <c r="AM106" s="13" t="inlineStr"/>
      <c r="AN106" s="13" t="inlineStr"/>
      <c r="AO106" s="13">
        <f>IFERROR(ROUND(AVERAGE(AL106:AN106),1),"")</f>
        <v/>
      </c>
      <c r="AP106" s="13" t="n">
        <v>8</v>
      </c>
      <c r="AQ106" s="13" t="n">
        <v>8</v>
      </c>
      <c r="AR106" s="13" t="n">
        <v>7</v>
      </c>
      <c r="AS106" s="13" t="n">
        <v>8.5</v>
      </c>
      <c r="AT106" s="13">
        <f>IFERROR(ROUND(AVERAGE(AP106:AS106),1),"")</f>
        <v/>
      </c>
      <c r="AU106" s="13" t="n">
        <v>7</v>
      </c>
      <c r="AV106" s="13" t="n">
        <v>7.2</v>
      </c>
      <c r="AW106" s="13" t="n">
        <v>7.4</v>
      </c>
      <c r="AX106" s="13" t="n">
        <v>7</v>
      </c>
      <c r="AY106" s="13">
        <f>IFERROR(ROUND(AVERAGE(AU106:AX106),1),"")</f>
        <v/>
      </c>
      <c r="AZ106" s="13">
        <f>ROUND(0.19*N(Q106)+0.17*N(V106)+0.17*N(AA106)+0.1*N(AF106)+0.09*N(AK106)+0.12*N(AT106)+0.16*N(AY106),1)</f>
        <v/>
      </c>
      <c r="BA106" s="13" t="inlineStr">
        <is>
          <t>128K</t>
        </is>
      </c>
      <c r="BB106" s="13" t="n"/>
      <c r="BC106" s="13" t="inlineStr"/>
      <c r="BD106" s="13" t="inlineStr"/>
      <c r="BE106" s="13" t="inlineStr">
        <is>
          <t>high</t>
        </is>
      </c>
      <c r="BF106" s="13" t="n">
        <v>4</v>
      </c>
      <c r="BG106" s="13" t="n">
        <v>3</v>
      </c>
      <c r="BH106" s="13" t="inlineStr">
        <is>
          <t>Cheap mid-tier open-weight, fast on Groq</t>
        </is>
      </c>
      <c r="BI106" s="13" t="inlineStr"/>
      <c r="BJ106" s="15" t="inlineStr">
        <is>
          <t>M</t>
        </is>
      </c>
      <c r="BK106" s="13" t="inlineStr">
        <is>
          <t>3.3 generation; family-inherited estimate (scaled from flagship); verify before HIGH-stakes routing</t>
        </is>
      </c>
      <c r="BL106" s="13" t="inlineStr">
        <is>
          <t>2026-06-07</t>
        </is>
      </c>
    </row>
    <row r="107">
      <c r="A107" s="13" t="inlineStr">
        <is>
          <t>meta-llama/Llama-3.3-70B-Instruct</t>
        </is>
      </c>
      <c r="B107" s="13" t="inlineStr">
        <is>
          <t>Llama 3.3 70B</t>
        </is>
      </c>
      <c r="C107" s="13" t="inlineStr">
        <is>
          <t>Meta</t>
        </is>
      </c>
      <c r="D107" s="13" t="inlineStr">
        <is>
          <t>Llama 3.3</t>
        </is>
      </c>
      <c r="E107" s="13" t="inlineStr">
        <is>
          <t>70b</t>
        </is>
      </c>
      <c r="F107" s="13" t="inlineStr">
        <is>
          <t>Legacy</t>
        </is>
      </c>
      <c r="G107" s="13" t="inlineStr">
        <is>
          <t>Open-Weight (mid)</t>
        </is>
      </c>
      <c r="H107" s="13" t="inlineStr">
        <is>
          <t>Together AI</t>
        </is>
      </c>
      <c r="I107" s="13" t="inlineStr">
        <is>
          <t>Aggregator</t>
        </is>
      </c>
      <c r="J107" s="13" t="inlineStr">
        <is>
          <t>Not-keyed</t>
        </is>
      </c>
      <c r="K107" s="13" t="inlineStr">
        <is>
          <t>metered (not configured)</t>
        </is>
      </c>
      <c r="L107" s="13" t="inlineStr">
        <is>
          <t>No</t>
        </is>
      </c>
      <c r="M107" s="13" t="n">
        <v>7.2</v>
      </c>
      <c r="N107" s="13" t="n">
        <v>6.6</v>
      </c>
      <c r="O107" s="13" t="n">
        <v>6.6</v>
      </c>
      <c r="P107" s="13" t="n">
        <v>7.2</v>
      </c>
      <c r="Q107" s="13">
        <f>IFERROR(ROUND(AVERAGE(M107:P107),1),"")</f>
        <v/>
      </c>
      <c r="R107" s="13" t="n">
        <v>7</v>
      </c>
      <c r="S107" s="13" t="n">
        <v>6.2</v>
      </c>
      <c r="T107" s="13" t="n">
        <v>6.6</v>
      </c>
      <c r="U107" s="13" t="n">
        <v>7</v>
      </c>
      <c r="V107" s="13">
        <f>IFERROR(ROUND(AVERAGE(R107:U107),1),"")</f>
        <v/>
      </c>
      <c r="W107" s="13" t="n">
        <v>7</v>
      </c>
      <c r="X107" s="13" t="n">
        <v>6.6</v>
      </c>
      <c r="Y107" s="13" t="n">
        <v>6.2</v>
      </c>
      <c r="Z107" s="13" t="n">
        <v>7.2</v>
      </c>
      <c r="AA107" s="13">
        <f>IFERROR(ROUND(AVERAGE(W107:Z107),1),"")</f>
        <v/>
      </c>
      <c r="AB107" s="13" t="n">
        <v>7.4</v>
      </c>
      <c r="AC107" s="13" t="n">
        <v>7.4</v>
      </c>
      <c r="AD107" s="13" t="n">
        <v>7.2</v>
      </c>
      <c r="AE107" s="13" t="n">
        <v>7.6</v>
      </c>
      <c r="AF107" s="13">
        <f>IFERROR(ROUND(AVERAGE(AB107:AE107),1),"")</f>
        <v/>
      </c>
      <c r="AG107" s="13" t="n">
        <v>6.6</v>
      </c>
      <c r="AH107" s="13" t="n">
        <v>6</v>
      </c>
      <c r="AI107" s="13" t="n">
        <v>7</v>
      </c>
      <c r="AJ107" s="13" t="n">
        <v>6.8</v>
      </c>
      <c r="AK107" s="13">
        <f>IFERROR(ROUND(AVERAGE(AG107:AJ107),1),"")</f>
        <v/>
      </c>
      <c r="AL107" s="13" t="inlineStr"/>
      <c r="AM107" s="13" t="inlineStr"/>
      <c r="AN107" s="13" t="inlineStr"/>
      <c r="AO107" s="13">
        <f>IFERROR(ROUND(AVERAGE(AL107:AN107),1),"")</f>
        <v/>
      </c>
      <c r="AP107" s="13" t="n">
        <v>8</v>
      </c>
      <c r="AQ107" s="13" t="n">
        <v>8</v>
      </c>
      <c r="AR107" s="13" t="n">
        <v>7</v>
      </c>
      <c r="AS107" s="13" t="n">
        <v>8.5</v>
      </c>
      <c r="AT107" s="13">
        <f>IFERROR(ROUND(AVERAGE(AP107:AS107),1),"")</f>
        <v/>
      </c>
      <c r="AU107" s="13" t="n">
        <v>7</v>
      </c>
      <c r="AV107" s="13" t="n">
        <v>7.2</v>
      </c>
      <c r="AW107" s="13" t="n">
        <v>7.4</v>
      </c>
      <c r="AX107" s="13" t="n">
        <v>7</v>
      </c>
      <c r="AY107" s="13">
        <f>IFERROR(ROUND(AVERAGE(AU107:AX107),1),"")</f>
        <v/>
      </c>
      <c r="AZ107" s="13">
        <f>ROUND(0.19*N(Q107)+0.17*N(V107)+0.17*N(AA107)+0.1*N(AF107)+0.09*N(AK107)+0.12*N(AT107)+0.16*N(AY107),1)</f>
        <v/>
      </c>
      <c r="BA107" s="13" t="inlineStr">
        <is>
          <t>128K</t>
        </is>
      </c>
      <c r="BB107" s="13" t="n"/>
      <c r="BC107" s="13" t="inlineStr"/>
      <c r="BD107" s="13" t="inlineStr"/>
      <c r="BE107" s="13" t="inlineStr">
        <is>
          <t>high</t>
        </is>
      </c>
      <c r="BF107" s="13" t="n">
        <v>4</v>
      </c>
      <c r="BG107" s="13" t="n">
        <v>3</v>
      </c>
      <c r="BH107" s="13" t="inlineStr">
        <is>
          <t>Cheap mid-tier open-weight, fast on Groq</t>
        </is>
      </c>
      <c r="BI107" s="13" t="inlineStr"/>
      <c r="BJ107" s="15" t="inlineStr">
        <is>
          <t>M</t>
        </is>
      </c>
      <c r="BK107" s="13" t="inlineStr">
        <is>
          <t>3.3 generation; family-inherited estimate (scaled from flagship); verify before HIGH-stakes routing</t>
        </is>
      </c>
      <c r="BL107" s="13" t="inlineStr">
        <is>
          <t>2026-06-07</t>
        </is>
      </c>
    </row>
    <row r="108">
      <c r="A108" s="13" t="inlineStr">
        <is>
          <t>meta-llama/Llama-3.3-70B-Instruct</t>
        </is>
      </c>
      <c r="B108" s="13" t="inlineStr">
        <is>
          <t>Llama 3.3 70B</t>
        </is>
      </c>
      <c r="C108" s="13" t="inlineStr">
        <is>
          <t>Meta</t>
        </is>
      </c>
      <c r="D108" s="13" t="inlineStr">
        <is>
          <t>Llama 3.3</t>
        </is>
      </c>
      <c r="E108" s="13" t="inlineStr">
        <is>
          <t>70b</t>
        </is>
      </c>
      <c r="F108" s="13" t="inlineStr">
        <is>
          <t>Legacy</t>
        </is>
      </c>
      <c r="G108" s="13" t="inlineStr">
        <is>
          <t>Open-Weight (mid)</t>
        </is>
      </c>
      <c r="H108" s="13" t="inlineStr">
        <is>
          <t>Amazon Bedrock (Kiro)</t>
        </is>
      </c>
      <c r="I108" s="13" t="inlineStr">
        <is>
          <t>Aggregator</t>
        </is>
      </c>
      <c r="J108" s="13" t="inlineStr">
        <is>
          <t>Installed; login unverified</t>
        </is>
      </c>
      <c r="K108" s="13" t="inlineStr">
        <is>
          <t>metered (not configured)</t>
        </is>
      </c>
      <c r="L108" s="13" t="inlineStr">
        <is>
          <t>No</t>
        </is>
      </c>
      <c r="M108" s="13" t="n">
        <v>7.2</v>
      </c>
      <c r="N108" s="13" t="n">
        <v>6.6</v>
      </c>
      <c r="O108" s="13" t="n">
        <v>6.6</v>
      </c>
      <c r="P108" s="13" t="n">
        <v>7.2</v>
      </c>
      <c r="Q108" s="13">
        <f>IFERROR(ROUND(AVERAGE(M108:P108),1),"")</f>
        <v/>
      </c>
      <c r="R108" s="13" t="n">
        <v>7</v>
      </c>
      <c r="S108" s="13" t="n">
        <v>6.2</v>
      </c>
      <c r="T108" s="13" t="n">
        <v>6.6</v>
      </c>
      <c r="U108" s="13" t="n">
        <v>7</v>
      </c>
      <c r="V108" s="13">
        <f>IFERROR(ROUND(AVERAGE(R108:U108),1),"")</f>
        <v/>
      </c>
      <c r="W108" s="13" t="n">
        <v>7</v>
      </c>
      <c r="X108" s="13" t="n">
        <v>6.6</v>
      </c>
      <c r="Y108" s="13" t="n">
        <v>6.2</v>
      </c>
      <c r="Z108" s="13" t="n">
        <v>7.2</v>
      </c>
      <c r="AA108" s="13">
        <f>IFERROR(ROUND(AVERAGE(W108:Z108),1),"")</f>
        <v/>
      </c>
      <c r="AB108" s="13" t="n">
        <v>7.4</v>
      </c>
      <c r="AC108" s="13" t="n">
        <v>7.4</v>
      </c>
      <c r="AD108" s="13" t="n">
        <v>7.2</v>
      </c>
      <c r="AE108" s="13" t="n">
        <v>7.6</v>
      </c>
      <c r="AF108" s="13">
        <f>IFERROR(ROUND(AVERAGE(AB108:AE108),1),"")</f>
        <v/>
      </c>
      <c r="AG108" s="13" t="n">
        <v>6.6</v>
      </c>
      <c r="AH108" s="13" t="n">
        <v>6</v>
      </c>
      <c r="AI108" s="13" t="n">
        <v>7</v>
      </c>
      <c r="AJ108" s="13" t="n">
        <v>6.8</v>
      </c>
      <c r="AK108" s="13">
        <f>IFERROR(ROUND(AVERAGE(AG108:AJ108),1),"")</f>
        <v/>
      </c>
      <c r="AL108" s="13" t="inlineStr"/>
      <c r="AM108" s="13" t="inlineStr"/>
      <c r="AN108" s="13" t="inlineStr"/>
      <c r="AO108" s="13">
        <f>IFERROR(ROUND(AVERAGE(AL108:AN108),1),"")</f>
        <v/>
      </c>
      <c r="AP108" s="13" t="n">
        <v>8</v>
      </c>
      <c r="AQ108" s="13" t="n">
        <v>8</v>
      </c>
      <c r="AR108" s="13" t="n">
        <v>7</v>
      </c>
      <c r="AS108" s="13" t="n">
        <v>8.5</v>
      </c>
      <c r="AT108" s="13">
        <f>IFERROR(ROUND(AVERAGE(AP108:AS108),1),"")</f>
        <v/>
      </c>
      <c r="AU108" s="13" t="n">
        <v>7</v>
      </c>
      <c r="AV108" s="13" t="n">
        <v>7.2</v>
      </c>
      <c r="AW108" s="13" t="n">
        <v>7.4</v>
      </c>
      <c r="AX108" s="13" t="n">
        <v>7</v>
      </c>
      <c r="AY108" s="13">
        <f>IFERROR(ROUND(AVERAGE(AU108:AX108),1),"")</f>
        <v/>
      </c>
      <c r="AZ108" s="13">
        <f>ROUND(0.19*N(Q108)+0.17*N(V108)+0.17*N(AA108)+0.1*N(AF108)+0.09*N(AK108)+0.12*N(AT108)+0.16*N(AY108),1)</f>
        <v/>
      </c>
      <c r="BA108" s="13" t="inlineStr">
        <is>
          <t>128K</t>
        </is>
      </c>
      <c r="BB108" s="13" t="n"/>
      <c r="BC108" s="13" t="inlineStr"/>
      <c r="BD108" s="13" t="inlineStr"/>
      <c r="BE108" s="13" t="inlineStr">
        <is>
          <t>high</t>
        </is>
      </c>
      <c r="BF108" s="13" t="n">
        <v>4</v>
      </c>
      <c r="BG108" s="13" t="n">
        <v>3</v>
      </c>
      <c r="BH108" s="13" t="inlineStr">
        <is>
          <t>Cheap mid-tier open-weight, fast on Groq</t>
        </is>
      </c>
      <c r="BI108" s="13" t="inlineStr"/>
      <c r="BJ108" s="15" t="inlineStr">
        <is>
          <t>M</t>
        </is>
      </c>
      <c r="BK108" s="13" t="inlineStr">
        <is>
          <t>3.3 generation; family-inherited estimate (scaled from flagship); verify before HIGH-stakes routing</t>
        </is>
      </c>
      <c r="BL108" s="13" t="inlineStr">
        <is>
          <t>2026-06-07</t>
        </is>
      </c>
    </row>
    <row r="109">
      <c r="A109" s="13" t="inlineStr">
        <is>
          <t>meta-llama/Llama-3.3-70B-Instruct</t>
        </is>
      </c>
      <c r="B109" s="13" t="inlineStr">
        <is>
          <t>Llama 3.3 70B</t>
        </is>
      </c>
      <c r="C109" s="13" t="inlineStr">
        <is>
          <t>Meta</t>
        </is>
      </c>
      <c r="D109" s="13" t="inlineStr">
        <is>
          <t>Llama 3.3</t>
        </is>
      </c>
      <c r="E109" s="13" t="inlineStr">
        <is>
          <t>70b</t>
        </is>
      </c>
      <c r="F109" s="13" t="inlineStr">
        <is>
          <t>Legacy</t>
        </is>
      </c>
      <c r="G109" s="13" t="inlineStr">
        <is>
          <t>Open-Weight (mid)</t>
        </is>
      </c>
      <c r="H109" s="13" t="inlineStr">
        <is>
          <t>GitHub Models (AI Toolkit)</t>
        </is>
      </c>
      <c r="I109" s="13" t="inlineStr">
        <is>
          <t>Aggregator</t>
        </is>
      </c>
      <c r="J109" s="13" t="inlineStr">
        <is>
          <t>Configured</t>
        </is>
      </c>
      <c r="K109" s="13" t="inlineStr">
        <is>
          <t>subscription_included</t>
        </is>
      </c>
      <c r="L109" s="13" t="inlineStr">
        <is>
          <t>No</t>
        </is>
      </c>
      <c r="M109" s="13" t="n">
        <v>7.2</v>
      </c>
      <c r="N109" s="13" t="n">
        <v>6.6</v>
      </c>
      <c r="O109" s="13" t="n">
        <v>6.6</v>
      </c>
      <c r="P109" s="13" t="n">
        <v>7.2</v>
      </c>
      <c r="Q109" s="13">
        <f>IFERROR(ROUND(AVERAGE(M109:P109),1),"")</f>
        <v/>
      </c>
      <c r="R109" s="13" t="n">
        <v>7</v>
      </c>
      <c r="S109" s="13" t="n">
        <v>6.2</v>
      </c>
      <c r="T109" s="13" t="n">
        <v>6.6</v>
      </c>
      <c r="U109" s="13" t="n">
        <v>7</v>
      </c>
      <c r="V109" s="13">
        <f>IFERROR(ROUND(AVERAGE(R109:U109),1),"")</f>
        <v/>
      </c>
      <c r="W109" s="13" t="n">
        <v>7</v>
      </c>
      <c r="X109" s="13" t="n">
        <v>6.6</v>
      </c>
      <c r="Y109" s="13" t="n">
        <v>6.2</v>
      </c>
      <c r="Z109" s="13" t="n">
        <v>7.2</v>
      </c>
      <c r="AA109" s="13">
        <f>IFERROR(ROUND(AVERAGE(W109:Z109),1),"")</f>
        <v/>
      </c>
      <c r="AB109" s="13" t="n">
        <v>7.4</v>
      </c>
      <c r="AC109" s="13" t="n">
        <v>7.4</v>
      </c>
      <c r="AD109" s="13" t="n">
        <v>7.2</v>
      </c>
      <c r="AE109" s="13" t="n">
        <v>7.6</v>
      </c>
      <c r="AF109" s="13">
        <f>IFERROR(ROUND(AVERAGE(AB109:AE109),1),"")</f>
        <v/>
      </c>
      <c r="AG109" s="13" t="n">
        <v>6.6</v>
      </c>
      <c r="AH109" s="13" t="n">
        <v>6</v>
      </c>
      <c r="AI109" s="13" t="n">
        <v>7</v>
      </c>
      <c r="AJ109" s="13" t="n">
        <v>6.8</v>
      </c>
      <c r="AK109" s="13">
        <f>IFERROR(ROUND(AVERAGE(AG109:AJ109),1),"")</f>
        <v/>
      </c>
      <c r="AL109" s="13" t="inlineStr"/>
      <c r="AM109" s="13" t="inlineStr"/>
      <c r="AN109" s="13" t="inlineStr"/>
      <c r="AO109" s="13">
        <f>IFERROR(ROUND(AVERAGE(AL109:AN109),1),"")</f>
        <v/>
      </c>
      <c r="AP109" s="13" t="n">
        <v>8</v>
      </c>
      <c r="AQ109" s="13" t="n">
        <v>8</v>
      </c>
      <c r="AR109" s="13" t="n">
        <v>7</v>
      </c>
      <c r="AS109" s="13" t="n">
        <v>8.5</v>
      </c>
      <c r="AT109" s="13">
        <f>IFERROR(ROUND(AVERAGE(AP109:AS109),1),"")</f>
        <v/>
      </c>
      <c r="AU109" s="13" t="n">
        <v>7</v>
      </c>
      <c r="AV109" s="13" t="n">
        <v>7.2</v>
      </c>
      <c r="AW109" s="13" t="n">
        <v>7.4</v>
      </c>
      <c r="AX109" s="13" t="n">
        <v>7</v>
      </c>
      <c r="AY109" s="13">
        <f>IFERROR(ROUND(AVERAGE(AU109:AX109),1),"")</f>
        <v/>
      </c>
      <c r="AZ109" s="13">
        <f>ROUND(0.19*N(Q109)+0.17*N(V109)+0.17*N(AA109)+0.1*N(AF109)+0.09*N(AK109)+0.12*N(AT109)+0.16*N(AY109),1)</f>
        <v/>
      </c>
      <c r="BA109" s="13" t="inlineStr">
        <is>
          <t>128K</t>
        </is>
      </c>
      <c r="BB109" s="13" t="n"/>
      <c r="BC109" s="13" t="inlineStr"/>
      <c r="BD109" s="13" t="inlineStr"/>
      <c r="BE109" s="13" t="inlineStr">
        <is>
          <t>high</t>
        </is>
      </c>
      <c r="BF109" s="13" t="n">
        <v>4</v>
      </c>
      <c r="BG109" s="13" t="n">
        <v>3</v>
      </c>
      <c r="BH109" s="13" t="inlineStr">
        <is>
          <t>Cheap mid-tier open-weight, fast on Groq</t>
        </is>
      </c>
      <c r="BI109" s="13" t="inlineStr"/>
      <c r="BJ109" s="15" t="inlineStr">
        <is>
          <t>M</t>
        </is>
      </c>
      <c r="BK109" s="13" t="inlineStr">
        <is>
          <t>3.3 generation; family-inherited estimate (scaled from flagship); verify before HIGH-stakes routing</t>
        </is>
      </c>
      <c r="BL109" s="13" t="inlineStr">
        <is>
          <t>2026-06-07</t>
        </is>
      </c>
    </row>
    <row r="110">
      <c r="A110" s="13" t="inlineStr">
        <is>
          <t>meta-llama/Llama-3.3-70B-Instruct</t>
        </is>
      </c>
      <c r="B110" s="13" t="inlineStr">
        <is>
          <t>Llama 3.3 70B</t>
        </is>
      </c>
      <c r="C110" s="13" t="inlineStr">
        <is>
          <t>Meta</t>
        </is>
      </c>
      <c r="D110" s="13" t="inlineStr">
        <is>
          <t>Llama 3.3</t>
        </is>
      </c>
      <c r="E110" s="13" t="inlineStr">
        <is>
          <t>70b</t>
        </is>
      </c>
      <c r="F110" s="13" t="inlineStr">
        <is>
          <t>Legacy</t>
        </is>
      </c>
      <c r="G110" s="13" t="inlineStr">
        <is>
          <t>Open-Weight (mid)</t>
        </is>
      </c>
      <c r="H110" s="13" t="inlineStr">
        <is>
          <t>OpenRouter</t>
        </is>
      </c>
      <c r="I110" s="13" t="inlineStr">
        <is>
          <t>Aggregator</t>
        </is>
      </c>
      <c r="J110" s="13" t="inlineStr">
        <is>
          <t>Not-keyed</t>
        </is>
      </c>
      <c r="K110" s="13" t="inlineStr">
        <is>
          <t>metered (not configured)</t>
        </is>
      </c>
      <c r="L110" s="13" t="inlineStr">
        <is>
          <t>No</t>
        </is>
      </c>
      <c r="M110" s="13" t="n">
        <v>7.2</v>
      </c>
      <c r="N110" s="13" t="n">
        <v>6.6</v>
      </c>
      <c r="O110" s="13" t="n">
        <v>6.6</v>
      </c>
      <c r="P110" s="13" t="n">
        <v>7.2</v>
      </c>
      <c r="Q110" s="13">
        <f>IFERROR(ROUND(AVERAGE(M110:P110),1),"")</f>
        <v/>
      </c>
      <c r="R110" s="13" t="n">
        <v>7</v>
      </c>
      <c r="S110" s="13" t="n">
        <v>6.2</v>
      </c>
      <c r="T110" s="13" t="n">
        <v>6.6</v>
      </c>
      <c r="U110" s="13" t="n">
        <v>7</v>
      </c>
      <c r="V110" s="13">
        <f>IFERROR(ROUND(AVERAGE(R110:U110),1),"")</f>
        <v/>
      </c>
      <c r="W110" s="13" t="n">
        <v>7</v>
      </c>
      <c r="X110" s="13" t="n">
        <v>6.6</v>
      </c>
      <c r="Y110" s="13" t="n">
        <v>6.2</v>
      </c>
      <c r="Z110" s="13" t="n">
        <v>7.2</v>
      </c>
      <c r="AA110" s="13">
        <f>IFERROR(ROUND(AVERAGE(W110:Z110),1),"")</f>
        <v/>
      </c>
      <c r="AB110" s="13" t="n">
        <v>7.4</v>
      </c>
      <c r="AC110" s="13" t="n">
        <v>7.4</v>
      </c>
      <c r="AD110" s="13" t="n">
        <v>7.2</v>
      </c>
      <c r="AE110" s="13" t="n">
        <v>7.6</v>
      </c>
      <c r="AF110" s="13">
        <f>IFERROR(ROUND(AVERAGE(AB110:AE110),1),"")</f>
        <v/>
      </c>
      <c r="AG110" s="13" t="n">
        <v>6.6</v>
      </c>
      <c r="AH110" s="13" t="n">
        <v>6</v>
      </c>
      <c r="AI110" s="13" t="n">
        <v>7</v>
      </c>
      <c r="AJ110" s="13" t="n">
        <v>6.8</v>
      </c>
      <c r="AK110" s="13">
        <f>IFERROR(ROUND(AVERAGE(AG110:AJ110),1),"")</f>
        <v/>
      </c>
      <c r="AL110" s="13" t="inlineStr"/>
      <c r="AM110" s="13" t="inlineStr"/>
      <c r="AN110" s="13" t="inlineStr"/>
      <c r="AO110" s="13">
        <f>IFERROR(ROUND(AVERAGE(AL110:AN110),1),"")</f>
        <v/>
      </c>
      <c r="AP110" s="13" t="n">
        <v>8</v>
      </c>
      <c r="AQ110" s="13" t="n">
        <v>8</v>
      </c>
      <c r="AR110" s="13" t="n">
        <v>7</v>
      </c>
      <c r="AS110" s="13" t="n">
        <v>8.5</v>
      </c>
      <c r="AT110" s="13">
        <f>IFERROR(ROUND(AVERAGE(AP110:AS110),1),"")</f>
        <v/>
      </c>
      <c r="AU110" s="13" t="n">
        <v>7</v>
      </c>
      <c r="AV110" s="13" t="n">
        <v>7.2</v>
      </c>
      <c r="AW110" s="13" t="n">
        <v>7.4</v>
      </c>
      <c r="AX110" s="13" t="n">
        <v>7</v>
      </c>
      <c r="AY110" s="13">
        <f>IFERROR(ROUND(AVERAGE(AU110:AX110),1),"")</f>
        <v/>
      </c>
      <c r="AZ110" s="13">
        <f>ROUND(0.19*N(Q110)+0.17*N(V110)+0.17*N(AA110)+0.1*N(AF110)+0.09*N(AK110)+0.12*N(AT110)+0.16*N(AY110),1)</f>
        <v/>
      </c>
      <c r="BA110" s="13" t="inlineStr">
        <is>
          <t>128K</t>
        </is>
      </c>
      <c r="BB110" s="13" t="n"/>
      <c r="BC110" s="13" t="inlineStr"/>
      <c r="BD110" s="13" t="inlineStr"/>
      <c r="BE110" s="13" t="inlineStr">
        <is>
          <t>high</t>
        </is>
      </c>
      <c r="BF110" s="13" t="n">
        <v>4</v>
      </c>
      <c r="BG110" s="13" t="n">
        <v>3</v>
      </c>
      <c r="BH110" s="13" t="inlineStr">
        <is>
          <t>Cheap mid-tier open-weight, fast on Groq</t>
        </is>
      </c>
      <c r="BI110" s="13" t="inlineStr"/>
      <c r="BJ110" s="15" t="inlineStr">
        <is>
          <t>M</t>
        </is>
      </c>
      <c r="BK110" s="13" t="inlineStr">
        <is>
          <t>3.3 generation; family-inherited estimate (scaled from flagship); verify before HIGH-stakes routing</t>
        </is>
      </c>
      <c r="BL110" s="13" t="inlineStr">
        <is>
          <t>2026-06-07</t>
        </is>
      </c>
    </row>
    <row r="111">
      <c r="A111" s="13" t="inlineStr">
        <is>
          <t>meta-llama/Llama-3.1-70B-Instruct</t>
        </is>
      </c>
      <c r="B111" s="13" t="inlineStr">
        <is>
          <t>Llama 3.1 70B</t>
        </is>
      </c>
      <c r="C111" s="13" t="inlineStr">
        <is>
          <t>Meta</t>
        </is>
      </c>
      <c r="D111" s="13" t="inlineStr">
        <is>
          <t>Llama 3.1</t>
        </is>
      </c>
      <c r="E111" s="13" t="inlineStr">
        <is>
          <t>70b</t>
        </is>
      </c>
      <c r="F111" s="13" t="inlineStr">
        <is>
          <t>Legacy</t>
        </is>
      </c>
      <c r="G111" s="13" t="inlineStr">
        <is>
          <t>Open-Weight (mid)</t>
        </is>
      </c>
      <c r="H111" s="13" t="inlineStr">
        <is>
          <t>Groq</t>
        </is>
      </c>
      <c r="I111" s="13" t="inlineStr">
        <is>
          <t>Aggregator</t>
        </is>
      </c>
      <c r="J111" s="13" t="inlineStr">
        <is>
          <t>Not-keyed</t>
        </is>
      </c>
      <c r="K111" s="13" t="inlineStr">
        <is>
          <t>metered (not configured)</t>
        </is>
      </c>
      <c r="L111" s="13" t="inlineStr">
        <is>
          <t>No</t>
        </is>
      </c>
      <c r="M111" s="13" t="n">
        <v>7</v>
      </c>
      <c r="N111" s="13" t="n">
        <v>6.4</v>
      </c>
      <c r="O111" s="13" t="n">
        <v>6.4</v>
      </c>
      <c r="P111" s="13" t="n">
        <v>7</v>
      </c>
      <c r="Q111" s="13">
        <f>IFERROR(ROUND(AVERAGE(M111:P111),1),"")</f>
        <v/>
      </c>
      <c r="R111" s="13" t="n">
        <v>6.8</v>
      </c>
      <c r="S111" s="13" t="n">
        <v>6</v>
      </c>
      <c r="T111" s="13" t="n">
        <v>6.4</v>
      </c>
      <c r="U111" s="13" t="n">
        <v>6.8</v>
      </c>
      <c r="V111" s="13">
        <f>IFERROR(ROUND(AVERAGE(R111:U111),1),"")</f>
        <v/>
      </c>
      <c r="W111" s="13" t="n">
        <v>6.8</v>
      </c>
      <c r="X111" s="13" t="n">
        <v>6.4</v>
      </c>
      <c r="Y111" s="13" t="n">
        <v>6</v>
      </c>
      <c r="Z111" s="13" t="n">
        <v>7</v>
      </c>
      <c r="AA111" s="13">
        <f>IFERROR(ROUND(AVERAGE(W111:Z111),1),"")</f>
        <v/>
      </c>
      <c r="AB111" s="13" t="n">
        <v>7.2</v>
      </c>
      <c r="AC111" s="13" t="n">
        <v>7.2</v>
      </c>
      <c r="AD111" s="13" t="n">
        <v>7</v>
      </c>
      <c r="AE111" s="13" t="n">
        <v>7.4</v>
      </c>
      <c r="AF111" s="13">
        <f>IFERROR(ROUND(AVERAGE(AB111:AE111),1),"")</f>
        <v/>
      </c>
      <c r="AG111" s="13" t="n">
        <v>6.4</v>
      </c>
      <c r="AH111" s="13" t="n">
        <v>5.8</v>
      </c>
      <c r="AI111" s="13" t="n">
        <v>6.8</v>
      </c>
      <c r="AJ111" s="13" t="n">
        <v>6.6</v>
      </c>
      <c r="AK111" s="13">
        <f>IFERROR(ROUND(AVERAGE(AG111:AJ111),1),"")</f>
        <v/>
      </c>
      <c r="AL111" s="13" t="inlineStr"/>
      <c r="AM111" s="13" t="inlineStr"/>
      <c r="AN111" s="13" t="inlineStr"/>
      <c r="AO111" s="13">
        <f>IFERROR(ROUND(AVERAGE(AL111:AN111),1),"")</f>
        <v/>
      </c>
      <c r="AP111" s="13" t="n">
        <v>8.199999999999999</v>
      </c>
      <c r="AQ111" s="13" t="n">
        <v>8.199999999999999</v>
      </c>
      <c r="AR111" s="13" t="n">
        <v>7</v>
      </c>
      <c r="AS111" s="13" t="n">
        <v>8.6</v>
      </c>
      <c r="AT111" s="13">
        <f>IFERROR(ROUND(AVERAGE(AP111:AS111),1),"")</f>
        <v/>
      </c>
      <c r="AU111" s="13" t="n">
        <v>6.8</v>
      </c>
      <c r="AV111" s="13" t="n">
        <v>7</v>
      </c>
      <c r="AW111" s="13" t="n">
        <v>7.2</v>
      </c>
      <c r="AX111" s="13" t="n">
        <v>6.8</v>
      </c>
      <c r="AY111" s="13">
        <f>IFERROR(ROUND(AVERAGE(AU111:AX111),1),"")</f>
        <v/>
      </c>
      <c r="AZ111" s="13">
        <f>ROUND(0.19*N(Q111)+0.17*N(V111)+0.17*N(AA111)+0.1*N(AF111)+0.09*N(AK111)+0.12*N(AT111)+0.16*N(AY111),1)</f>
        <v/>
      </c>
      <c r="BA111" s="13" t="inlineStr">
        <is>
          <t>128K</t>
        </is>
      </c>
      <c r="BB111" s="13" t="n"/>
      <c r="BC111" s="13" t="inlineStr"/>
      <c r="BD111" s="13" t="inlineStr"/>
      <c r="BE111" s="13" t="inlineStr">
        <is>
          <t>high</t>
        </is>
      </c>
      <c r="BF111" s="13" t="n">
        <v>4</v>
      </c>
      <c r="BG111" s="13" t="n">
        <v>3</v>
      </c>
      <c r="BH111" s="13" t="inlineStr">
        <is>
          <t>Cheap mid open-weight</t>
        </is>
      </c>
      <c r="BI111" s="13" t="inlineStr"/>
      <c r="BJ111" s="15" t="inlineStr">
        <is>
          <t>M</t>
        </is>
      </c>
      <c r="BK111" s="13" t="inlineStr">
        <is>
          <t>3.1 mid; family-inherited estimate (scaled from flagship); verify before HIGH-stakes routing</t>
        </is>
      </c>
      <c r="BL111" s="13" t="inlineStr">
        <is>
          <t>2026-06-07</t>
        </is>
      </c>
    </row>
    <row r="112">
      <c r="A112" s="13" t="inlineStr">
        <is>
          <t>meta-llama/Llama-3.1-70B-Instruct</t>
        </is>
      </c>
      <c r="B112" s="13" t="inlineStr">
        <is>
          <t>Llama 3.1 70B</t>
        </is>
      </c>
      <c r="C112" s="13" t="inlineStr">
        <is>
          <t>Meta</t>
        </is>
      </c>
      <c r="D112" s="13" t="inlineStr">
        <is>
          <t>Llama 3.1</t>
        </is>
      </c>
      <c r="E112" s="13" t="inlineStr">
        <is>
          <t>70b</t>
        </is>
      </c>
      <c r="F112" s="13" t="inlineStr">
        <is>
          <t>Legacy</t>
        </is>
      </c>
      <c r="G112" s="13" t="inlineStr">
        <is>
          <t>Open-Weight (mid)</t>
        </is>
      </c>
      <c r="H112" s="13" t="inlineStr">
        <is>
          <t>Together AI</t>
        </is>
      </c>
      <c r="I112" s="13" t="inlineStr">
        <is>
          <t>Aggregator</t>
        </is>
      </c>
      <c r="J112" s="13" t="inlineStr">
        <is>
          <t>Not-keyed</t>
        </is>
      </c>
      <c r="K112" s="13" t="inlineStr">
        <is>
          <t>metered (not configured)</t>
        </is>
      </c>
      <c r="L112" s="13" t="inlineStr">
        <is>
          <t>No</t>
        </is>
      </c>
      <c r="M112" s="13" t="n">
        <v>7</v>
      </c>
      <c r="N112" s="13" t="n">
        <v>6.4</v>
      </c>
      <c r="O112" s="13" t="n">
        <v>6.4</v>
      </c>
      <c r="P112" s="13" t="n">
        <v>7</v>
      </c>
      <c r="Q112" s="13">
        <f>IFERROR(ROUND(AVERAGE(M112:P112),1),"")</f>
        <v/>
      </c>
      <c r="R112" s="13" t="n">
        <v>6.8</v>
      </c>
      <c r="S112" s="13" t="n">
        <v>6</v>
      </c>
      <c r="T112" s="13" t="n">
        <v>6.4</v>
      </c>
      <c r="U112" s="13" t="n">
        <v>6.8</v>
      </c>
      <c r="V112" s="13">
        <f>IFERROR(ROUND(AVERAGE(R112:U112),1),"")</f>
        <v/>
      </c>
      <c r="W112" s="13" t="n">
        <v>6.8</v>
      </c>
      <c r="X112" s="13" t="n">
        <v>6.4</v>
      </c>
      <c r="Y112" s="13" t="n">
        <v>6</v>
      </c>
      <c r="Z112" s="13" t="n">
        <v>7</v>
      </c>
      <c r="AA112" s="13">
        <f>IFERROR(ROUND(AVERAGE(W112:Z112),1),"")</f>
        <v/>
      </c>
      <c r="AB112" s="13" t="n">
        <v>7.2</v>
      </c>
      <c r="AC112" s="13" t="n">
        <v>7.2</v>
      </c>
      <c r="AD112" s="13" t="n">
        <v>7</v>
      </c>
      <c r="AE112" s="13" t="n">
        <v>7.4</v>
      </c>
      <c r="AF112" s="13">
        <f>IFERROR(ROUND(AVERAGE(AB112:AE112),1),"")</f>
        <v/>
      </c>
      <c r="AG112" s="13" t="n">
        <v>6.4</v>
      </c>
      <c r="AH112" s="13" t="n">
        <v>5.8</v>
      </c>
      <c r="AI112" s="13" t="n">
        <v>6.8</v>
      </c>
      <c r="AJ112" s="13" t="n">
        <v>6.6</v>
      </c>
      <c r="AK112" s="13">
        <f>IFERROR(ROUND(AVERAGE(AG112:AJ112),1),"")</f>
        <v/>
      </c>
      <c r="AL112" s="13" t="inlineStr"/>
      <c r="AM112" s="13" t="inlineStr"/>
      <c r="AN112" s="13" t="inlineStr"/>
      <c r="AO112" s="13">
        <f>IFERROR(ROUND(AVERAGE(AL112:AN112),1),"")</f>
        <v/>
      </c>
      <c r="AP112" s="13" t="n">
        <v>8.199999999999999</v>
      </c>
      <c r="AQ112" s="13" t="n">
        <v>8.199999999999999</v>
      </c>
      <c r="AR112" s="13" t="n">
        <v>7</v>
      </c>
      <c r="AS112" s="13" t="n">
        <v>8.6</v>
      </c>
      <c r="AT112" s="13">
        <f>IFERROR(ROUND(AVERAGE(AP112:AS112),1),"")</f>
        <v/>
      </c>
      <c r="AU112" s="13" t="n">
        <v>6.8</v>
      </c>
      <c r="AV112" s="13" t="n">
        <v>7</v>
      </c>
      <c r="AW112" s="13" t="n">
        <v>7.2</v>
      </c>
      <c r="AX112" s="13" t="n">
        <v>6.8</v>
      </c>
      <c r="AY112" s="13">
        <f>IFERROR(ROUND(AVERAGE(AU112:AX112),1),"")</f>
        <v/>
      </c>
      <c r="AZ112" s="13">
        <f>ROUND(0.19*N(Q112)+0.17*N(V112)+0.17*N(AA112)+0.1*N(AF112)+0.09*N(AK112)+0.12*N(AT112)+0.16*N(AY112),1)</f>
        <v/>
      </c>
      <c r="BA112" s="13" t="inlineStr">
        <is>
          <t>128K</t>
        </is>
      </c>
      <c r="BB112" s="13" t="n"/>
      <c r="BC112" s="13" t="inlineStr"/>
      <c r="BD112" s="13" t="inlineStr"/>
      <c r="BE112" s="13" t="inlineStr">
        <is>
          <t>high</t>
        </is>
      </c>
      <c r="BF112" s="13" t="n">
        <v>4</v>
      </c>
      <c r="BG112" s="13" t="n">
        <v>3</v>
      </c>
      <c r="BH112" s="13" t="inlineStr">
        <is>
          <t>Cheap mid open-weight</t>
        </is>
      </c>
      <c r="BI112" s="13" t="inlineStr"/>
      <c r="BJ112" s="15" t="inlineStr">
        <is>
          <t>M</t>
        </is>
      </c>
      <c r="BK112" s="13" t="inlineStr">
        <is>
          <t>3.1 mid; family-inherited estimate (scaled from flagship); verify before HIGH-stakes routing</t>
        </is>
      </c>
      <c r="BL112" s="13" t="inlineStr">
        <is>
          <t>2026-06-07</t>
        </is>
      </c>
    </row>
    <row r="113">
      <c r="A113" s="13" t="inlineStr">
        <is>
          <t>meta-llama/Llama-3.1-70B-Instruct</t>
        </is>
      </c>
      <c r="B113" s="13" t="inlineStr">
        <is>
          <t>Llama 3.1 70B</t>
        </is>
      </c>
      <c r="C113" s="13" t="inlineStr">
        <is>
          <t>Meta</t>
        </is>
      </c>
      <c r="D113" s="13" t="inlineStr">
        <is>
          <t>Llama 3.1</t>
        </is>
      </c>
      <c r="E113" s="13" t="inlineStr">
        <is>
          <t>70b</t>
        </is>
      </c>
      <c r="F113" s="13" t="inlineStr">
        <is>
          <t>Legacy</t>
        </is>
      </c>
      <c r="G113" s="13" t="inlineStr">
        <is>
          <t>Open-Weight (mid)</t>
        </is>
      </c>
      <c r="H113" s="13" t="inlineStr">
        <is>
          <t>Amazon Bedrock (Kiro)</t>
        </is>
      </c>
      <c r="I113" s="13" t="inlineStr">
        <is>
          <t>Aggregator</t>
        </is>
      </c>
      <c r="J113" s="13" t="inlineStr">
        <is>
          <t>Installed; login unverified</t>
        </is>
      </c>
      <c r="K113" s="13" t="inlineStr">
        <is>
          <t>metered (not configured)</t>
        </is>
      </c>
      <c r="L113" s="13" t="inlineStr">
        <is>
          <t>No</t>
        </is>
      </c>
      <c r="M113" s="13" t="n">
        <v>7</v>
      </c>
      <c r="N113" s="13" t="n">
        <v>6.4</v>
      </c>
      <c r="O113" s="13" t="n">
        <v>6.4</v>
      </c>
      <c r="P113" s="13" t="n">
        <v>7</v>
      </c>
      <c r="Q113" s="13">
        <f>IFERROR(ROUND(AVERAGE(M113:P113),1),"")</f>
        <v/>
      </c>
      <c r="R113" s="13" t="n">
        <v>6.8</v>
      </c>
      <c r="S113" s="13" t="n">
        <v>6</v>
      </c>
      <c r="T113" s="13" t="n">
        <v>6.4</v>
      </c>
      <c r="U113" s="13" t="n">
        <v>6.8</v>
      </c>
      <c r="V113" s="13">
        <f>IFERROR(ROUND(AVERAGE(R113:U113),1),"")</f>
        <v/>
      </c>
      <c r="W113" s="13" t="n">
        <v>6.8</v>
      </c>
      <c r="X113" s="13" t="n">
        <v>6.4</v>
      </c>
      <c r="Y113" s="13" t="n">
        <v>6</v>
      </c>
      <c r="Z113" s="13" t="n">
        <v>7</v>
      </c>
      <c r="AA113" s="13">
        <f>IFERROR(ROUND(AVERAGE(W113:Z113),1),"")</f>
        <v/>
      </c>
      <c r="AB113" s="13" t="n">
        <v>7.2</v>
      </c>
      <c r="AC113" s="13" t="n">
        <v>7.2</v>
      </c>
      <c r="AD113" s="13" t="n">
        <v>7</v>
      </c>
      <c r="AE113" s="13" t="n">
        <v>7.4</v>
      </c>
      <c r="AF113" s="13">
        <f>IFERROR(ROUND(AVERAGE(AB113:AE113),1),"")</f>
        <v/>
      </c>
      <c r="AG113" s="13" t="n">
        <v>6.4</v>
      </c>
      <c r="AH113" s="13" t="n">
        <v>5.8</v>
      </c>
      <c r="AI113" s="13" t="n">
        <v>6.8</v>
      </c>
      <c r="AJ113" s="13" t="n">
        <v>6.6</v>
      </c>
      <c r="AK113" s="13">
        <f>IFERROR(ROUND(AVERAGE(AG113:AJ113),1),"")</f>
        <v/>
      </c>
      <c r="AL113" s="13" t="inlineStr"/>
      <c r="AM113" s="13" t="inlineStr"/>
      <c r="AN113" s="13" t="inlineStr"/>
      <c r="AO113" s="13">
        <f>IFERROR(ROUND(AVERAGE(AL113:AN113),1),"")</f>
        <v/>
      </c>
      <c r="AP113" s="13" t="n">
        <v>8.199999999999999</v>
      </c>
      <c r="AQ113" s="13" t="n">
        <v>8.199999999999999</v>
      </c>
      <c r="AR113" s="13" t="n">
        <v>7</v>
      </c>
      <c r="AS113" s="13" t="n">
        <v>8.6</v>
      </c>
      <c r="AT113" s="13">
        <f>IFERROR(ROUND(AVERAGE(AP113:AS113),1),"")</f>
        <v/>
      </c>
      <c r="AU113" s="13" t="n">
        <v>6.8</v>
      </c>
      <c r="AV113" s="13" t="n">
        <v>7</v>
      </c>
      <c r="AW113" s="13" t="n">
        <v>7.2</v>
      </c>
      <c r="AX113" s="13" t="n">
        <v>6.8</v>
      </c>
      <c r="AY113" s="13">
        <f>IFERROR(ROUND(AVERAGE(AU113:AX113),1),"")</f>
        <v/>
      </c>
      <c r="AZ113" s="13">
        <f>ROUND(0.19*N(Q113)+0.17*N(V113)+0.17*N(AA113)+0.1*N(AF113)+0.09*N(AK113)+0.12*N(AT113)+0.16*N(AY113),1)</f>
        <v/>
      </c>
      <c r="BA113" s="13" t="inlineStr">
        <is>
          <t>128K</t>
        </is>
      </c>
      <c r="BB113" s="13" t="n"/>
      <c r="BC113" s="13" t="inlineStr"/>
      <c r="BD113" s="13" t="inlineStr"/>
      <c r="BE113" s="13" t="inlineStr">
        <is>
          <t>high</t>
        </is>
      </c>
      <c r="BF113" s="13" t="n">
        <v>4</v>
      </c>
      <c r="BG113" s="13" t="n">
        <v>3</v>
      </c>
      <c r="BH113" s="13" t="inlineStr">
        <is>
          <t>Cheap mid open-weight</t>
        </is>
      </c>
      <c r="BI113" s="13" t="inlineStr"/>
      <c r="BJ113" s="15" t="inlineStr">
        <is>
          <t>M</t>
        </is>
      </c>
      <c r="BK113" s="13" t="inlineStr">
        <is>
          <t>3.1 mid; family-inherited estimate (scaled from flagship); verify before HIGH-stakes routing</t>
        </is>
      </c>
      <c r="BL113" s="13" t="inlineStr">
        <is>
          <t>2026-06-07</t>
        </is>
      </c>
    </row>
    <row r="114">
      <c r="A114" s="13" t="inlineStr">
        <is>
          <t>meta-llama/Llama-3.1-70B-Instruct</t>
        </is>
      </c>
      <c r="B114" s="13" t="inlineStr">
        <is>
          <t>Llama 3.1 70B</t>
        </is>
      </c>
      <c r="C114" s="13" t="inlineStr">
        <is>
          <t>Meta</t>
        </is>
      </c>
      <c r="D114" s="13" t="inlineStr">
        <is>
          <t>Llama 3.1</t>
        </is>
      </c>
      <c r="E114" s="13" t="inlineStr">
        <is>
          <t>70b</t>
        </is>
      </c>
      <c r="F114" s="13" t="inlineStr">
        <is>
          <t>Legacy</t>
        </is>
      </c>
      <c r="G114" s="13" t="inlineStr">
        <is>
          <t>Open-Weight (mid)</t>
        </is>
      </c>
      <c r="H114" s="13" t="inlineStr">
        <is>
          <t>OpenRouter</t>
        </is>
      </c>
      <c r="I114" s="13" t="inlineStr">
        <is>
          <t>Aggregator</t>
        </is>
      </c>
      <c r="J114" s="13" t="inlineStr">
        <is>
          <t>Not-keyed</t>
        </is>
      </c>
      <c r="K114" s="13" t="inlineStr">
        <is>
          <t>metered (not configured)</t>
        </is>
      </c>
      <c r="L114" s="13" t="inlineStr">
        <is>
          <t>No</t>
        </is>
      </c>
      <c r="M114" s="13" t="n">
        <v>7</v>
      </c>
      <c r="N114" s="13" t="n">
        <v>6.4</v>
      </c>
      <c r="O114" s="13" t="n">
        <v>6.4</v>
      </c>
      <c r="P114" s="13" t="n">
        <v>7</v>
      </c>
      <c r="Q114" s="13">
        <f>IFERROR(ROUND(AVERAGE(M114:P114),1),"")</f>
        <v/>
      </c>
      <c r="R114" s="13" t="n">
        <v>6.8</v>
      </c>
      <c r="S114" s="13" t="n">
        <v>6</v>
      </c>
      <c r="T114" s="13" t="n">
        <v>6.4</v>
      </c>
      <c r="U114" s="13" t="n">
        <v>6.8</v>
      </c>
      <c r="V114" s="13">
        <f>IFERROR(ROUND(AVERAGE(R114:U114),1),"")</f>
        <v/>
      </c>
      <c r="W114" s="13" t="n">
        <v>6.8</v>
      </c>
      <c r="X114" s="13" t="n">
        <v>6.4</v>
      </c>
      <c r="Y114" s="13" t="n">
        <v>6</v>
      </c>
      <c r="Z114" s="13" t="n">
        <v>7</v>
      </c>
      <c r="AA114" s="13">
        <f>IFERROR(ROUND(AVERAGE(W114:Z114),1),"")</f>
        <v/>
      </c>
      <c r="AB114" s="13" t="n">
        <v>7.2</v>
      </c>
      <c r="AC114" s="13" t="n">
        <v>7.2</v>
      </c>
      <c r="AD114" s="13" t="n">
        <v>7</v>
      </c>
      <c r="AE114" s="13" t="n">
        <v>7.4</v>
      </c>
      <c r="AF114" s="13">
        <f>IFERROR(ROUND(AVERAGE(AB114:AE114),1),"")</f>
        <v/>
      </c>
      <c r="AG114" s="13" t="n">
        <v>6.4</v>
      </c>
      <c r="AH114" s="13" t="n">
        <v>5.8</v>
      </c>
      <c r="AI114" s="13" t="n">
        <v>6.8</v>
      </c>
      <c r="AJ114" s="13" t="n">
        <v>6.6</v>
      </c>
      <c r="AK114" s="13">
        <f>IFERROR(ROUND(AVERAGE(AG114:AJ114),1),"")</f>
        <v/>
      </c>
      <c r="AL114" s="13" t="inlineStr"/>
      <c r="AM114" s="13" t="inlineStr"/>
      <c r="AN114" s="13" t="inlineStr"/>
      <c r="AO114" s="13">
        <f>IFERROR(ROUND(AVERAGE(AL114:AN114),1),"")</f>
        <v/>
      </c>
      <c r="AP114" s="13" t="n">
        <v>8.199999999999999</v>
      </c>
      <c r="AQ114" s="13" t="n">
        <v>8.199999999999999</v>
      </c>
      <c r="AR114" s="13" t="n">
        <v>7</v>
      </c>
      <c r="AS114" s="13" t="n">
        <v>8.6</v>
      </c>
      <c r="AT114" s="13">
        <f>IFERROR(ROUND(AVERAGE(AP114:AS114),1),"")</f>
        <v/>
      </c>
      <c r="AU114" s="13" t="n">
        <v>6.8</v>
      </c>
      <c r="AV114" s="13" t="n">
        <v>7</v>
      </c>
      <c r="AW114" s="13" t="n">
        <v>7.2</v>
      </c>
      <c r="AX114" s="13" t="n">
        <v>6.8</v>
      </c>
      <c r="AY114" s="13">
        <f>IFERROR(ROUND(AVERAGE(AU114:AX114),1),"")</f>
        <v/>
      </c>
      <c r="AZ114" s="13">
        <f>ROUND(0.19*N(Q114)+0.17*N(V114)+0.17*N(AA114)+0.1*N(AF114)+0.09*N(AK114)+0.12*N(AT114)+0.16*N(AY114),1)</f>
        <v/>
      </c>
      <c r="BA114" s="13" t="inlineStr">
        <is>
          <t>128K</t>
        </is>
      </c>
      <c r="BB114" s="13" t="n"/>
      <c r="BC114" s="13" t="inlineStr"/>
      <c r="BD114" s="13" t="inlineStr"/>
      <c r="BE114" s="13" t="inlineStr">
        <is>
          <t>high</t>
        </is>
      </c>
      <c r="BF114" s="13" t="n">
        <v>4</v>
      </c>
      <c r="BG114" s="13" t="n">
        <v>3</v>
      </c>
      <c r="BH114" s="13" t="inlineStr">
        <is>
          <t>Cheap mid open-weight</t>
        </is>
      </c>
      <c r="BI114" s="13" t="inlineStr"/>
      <c r="BJ114" s="15" t="inlineStr">
        <is>
          <t>M</t>
        </is>
      </c>
      <c r="BK114" s="13" t="inlineStr">
        <is>
          <t>3.1 mid; family-inherited estimate (scaled from flagship); verify before HIGH-stakes routing</t>
        </is>
      </c>
      <c r="BL114" s="13" t="inlineStr">
        <is>
          <t>2026-06-07</t>
        </is>
      </c>
    </row>
    <row r="115">
      <c r="A115" s="13" t="inlineStr">
        <is>
          <t>meta-llama/Llama-3.1-8B-Instruct</t>
        </is>
      </c>
      <c r="B115" s="13" t="inlineStr">
        <is>
          <t>Llama 3.1 8B</t>
        </is>
      </c>
      <c r="C115" s="13" t="inlineStr">
        <is>
          <t>Meta</t>
        </is>
      </c>
      <c r="D115" s="13" t="inlineStr">
        <is>
          <t>Llama 3.1</t>
        </is>
      </c>
      <c r="E115" s="13" t="inlineStr">
        <is>
          <t>8b</t>
        </is>
      </c>
      <c r="F115" s="13" t="inlineStr">
        <is>
          <t>Legacy</t>
        </is>
      </c>
      <c r="G115" s="13" t="inlineStr">
        <is>
          <t>Open-Weight / Fast</t>
        </is>
      </c>
      <c r="H115" s="13" t="inlineStr">
        <is>
          <t>Groq</t>
        </is>
      </c>
      <c r="I115" s="13" t="inlineStr">
        <is>
          <t>Aggregator</t>
        </is>
      </c>
      <c r="J115" s="13" t="inlineStr">
        <is>
          <t>Not-keyed</t>
        </is>
      </c>
      <c r="K115" s="13" t="inlineStr">
        <is>
          <t>metered (not configured)</t>
        </is>
      </c>
      <c r="L115" s="13" t="inlineStr">
        <is>
          <t>No</t>
        </is>
      </c>
      <c r="M115" s="13" t="n">
        <v>6</v>
      </c>
      <c r="N115" s="13" t="n">
        <v>5.4</v>
      </c>
      <c r="O115" s="13" t="n">
        <v>5.4</v>
      </c>
      <c r="P115" s="13" t="n">
        <v>6</v>
      </c>
      <c r="Q115" s="13">
        <f>IFERROR(ROUND(AVERAGE(M115:P115),1),"")</f>
        <v/>
      </c>
      <c r="R115" s="13" t="n">
        <v>5.8</v>
      </c>
      <c r="S115" s="13" t="n">
        <v>5</v>
      </c>
      <c r="T115" s="13" t="n">
        <v>5.4</v>
      </c>
      <c r="U115" s="13" t="n">
        <v>5.8</v>
      </c>
      <c r="V115" s="13">
        <f>IFERROR(ROUND(AVERAGE(R115:U115),1),"")</f>
        <v/>
      </c>
      <c r="W115" s="13" t="n">
        <v>6</v>
      </c>
      <c r="X115" s="13" t="n">
        <v>5.6</v>
      </c>
      <c r="Y115" s="13" t="n">
        <v>5</v>
      </c>
      <c r="Z115" s="13" t="n">
        <v>6.2</v>
      </c>
      <c r="AA115" s="13">
        <f>IFERROR(ROUND(AVERAGE(W115:Z115),1),"")</f>
        <v/>
      </c>
      <c r="AB115" s="13" t="n">
        <v>6.4</v>
      </c>
      <c r="AC115" s="13" t="n">
        <v>6.4</v>
      </c>
      <c r="AD115" s="13" t="n">
        <v>6.2</v>
      </c>
      <c r="AE115" s="13" t="n">
        <v>6.6</v>
      </c>
      <c r="AF115" s="13">
        <f>IFERROR(ROUND(AVERAGE(AB115:AE115),1),"")</f>
        <v/>
      </c>
      <c r="AG115" s="13" t="n">
        <v>5.6</v>
      </c>
      <c r="AH115" s="13" t="n">
        <v>5</v>
      </c>
      <c r="AI115" s="13" t="n">
        <v>6.2</v>
      </c>
      <c r="AJ115" s="13" t="n">
        <v>5.8</v>
      </c>
      <c r="AK115" s="13">
        <f>IFERROR(ROUND(AVERAGE(AG115:AJ115),1),"")</f>
        <v/>
      </c>
      <c r="AL115" s="13" t="inlineStr"/>
      <c r="AM115" s="13" t="inlineStr"/>
      <c r="AN115" s="13" t="inlineStr"/>
      <c r="AO115" s="13">
        <f>IFERROR(ROUND(AVERAGE(AL115:AN115),1),"")</f>
        <v/>
      </c>
      <c r="AP115" s="13" t="n">
        <v>9.199999999999999</v>
      </c>
      <c r="AQ115" s="13" t="n">
        <v>9.199999999999999</v>
      </c>
      <c r="AR115" s="13" t="n">
        <v>7</v>
      </c>
      <c r="AS115" s="13" t="n">
        <v>9.4</v>
      </c>
      <c r="AT115" s="13">
        <f>IFERROR(ROUND(AVERAGE(AP115:AS115),1),"")</f>
        <v/>
      </c>
      <c r="AU115" s="13" t="n">
        <v>6.2</v>
      </c>
      <c r="AV115" s="13" t="n">
        <v>6.4</v>
      </c>
      <c r="AW115" s="13" t="n">
        <v>6.6</v>
      </c>
      <c r="AX115" s="13" t="n">
        <v>6.2</v>
      </c>
      <c r="AY115" s="13">
        <f>IFERROR(ROUND(AVERAGE(AU115:AX115),1),"")</f>
        <v/>
      </c>
      <c r="AZ115" s="13">
        <f>ROUND(0.19*N(Q115)+0.17*N(V115)+0.17*N(AA115)+0.1*N(AF115)+0.09*N(AK115)+0.12*N(AT115)+0.16*N(AY115),1)</f>
        <v/>
      </c>
      <c r="BA115" s="13" t="inlineStr">
        <is>
          <t>128K</t>
        </is>
      </c>
      <c r="BB115" s="13" t="n"/>
      <c r="BC115" s="13" t="inlineStr"/>
      <c r="BD115" s="13" t="inlineStr"/>
      <c r="BE115" s="13" t="inlineStr">
        <is>
          <t>medium</t>
        </is>
      </c>
      <c r="BF115" s="13" t="n">
        <v>3</v>
      </c>
      <c r="BG115" s="13" t="n">
        <v>3</v>
      </c>
      <c r="BH115" s="13" t="inlineStr">
        <is>
          <t>Ultra-fast cheap open-weight (Groq instant)</t>
        </is>
      </c>
      <c r="BI115" s="13" t="inlineStr">
        <is>
          <t>Depth</t>
        </is>
      </c>
      <c r="BJ115" s="15" t="inlineStr">
        <is>
          <t>M</t>
        </is>
      </c>
      <c r="BK115" s="13" t="inlineStr">
        <is>
          <t>3.1 small; family-inherited estimate (scaled from flagship); verify before HIGH-stakes routing</t>
        </is>
      </c>
      <c r="BL115" s="13" t="inlineStr">
        <is>
          <t>2026-06-07</t>
        </is>
      </c>
    </row>
    <row r="116">
      <c r="A116" s="13" t="inlineStr">
        <is>
          <t>meta-llama/Llama-3.1-8B-Instruct</t>
        </is>
      </c>
      <c r="B116" s="13" t="inlineStr">
        <is>
          <t>Llama 3.1 8B</t>
        </is>
      </c>
      <c r="C116" s="13" t="inlineStr">
        <is>
          <t>Meta</t>
        </is>
      </c>
      <c r="D116" s="13" t="inlineStr">
        <is>
          <t>Llama 3.1</t>
        </is>
      </c>
      <c r="E116" s="13" t="inlineStr">
        <is>
          <t>8b</t>
        </is>
      </c>
      <c r="F116" s="13" t="inlineStr">
        <is>
          <t>Legacy</t>
        </is>
      </c>
      <c r="G116" s="13" t="inlineStr">
        <is>
          <t>Open-Weight / Fast</t>
        </is>
      </c>
      <c r="H116" s="13" t="inlineStr">
        <is>
          <t>Together AI</t>
        </is>
      </c>
      <c r="I116" s="13" t="inlineStr">
        <is>
          <t>Aggregator</t>
        </is>
      </c>
      <c r="J116" s="13" t="inlineStr">
        <is>
          <t>Not-keyed</t>
        </is>
      </c>
      <c r="K116" s="13" t="inlineStr">
        <is>
          <t>metered (not configured)</t>
        </is>
      </c>
      <c r="L116" s="13" t="inlineStr">
        <is>
          <t>No</t>
        </is>
      </c>
      <c r="M116" s="13" t="n">
        <v>6</v>
      </c>
      <c r="N116" s="13" t="n">
        <v>5.4</v>
      </c>
      <c r="O116" s="13" t="n">
        <v>5.4</v>
      </c>
      <c r="P116" s="13" t="n">
        <v>6</v>
      </c>
      <c r="Q116" s="13">
        <f>IFERROR(ROUND(AVERAGE(M116:P116),1),"")</f>
        <v/>
      </c>
      <c r="R116" s="13" t="n">
        <v>5.8</v>
      </c>
      <c r="S116" s="13" t="n">
        <v>5</v>
      </c>
      <c r="T116" s="13" t="n">
        <v>5.4</v>
      </c>
      <c r="U116" s="13" t="n">
        <v>5.8</v>
      </c>
      <c r="V116" s="13">
        <f>IFERROR(ROUND(AVERAGE(R116:U116),1),"")</f>
        <v/>
      </c>
      <c r="W116" s="13" t="n">
        <v>6</v>
      </c>
      <c r="X116" s="13" t="n">
        <v>5.6</v>
      </c>
      <c r="Y116" s="13" t="n">
        <v>5</v>
      </c>
      <c r="Z116" s="13" t="n">
        <v>6.2</v>
      </c>
      <c r="AA116" s="13">
        <f>IFERROR(ROUND(AVERAGE(W116:Z116),1),"")</f>
        <v/>
      </c>
      <c r="AB116" s="13" t="n">
        <v>6.4</v>
      </c>
      <c r="AC116" s="13" t="n">
        <v>6.4</v>
      </c>
      <c r="AD116" s="13" t="n">
        <v>6.2</v>
      </c>
      <c r="AE116" s="13" t="n">
        <v>6.6</v>
      </c>
      <c r="AF116" s="13">
        <f>IFERROR(ROUND(AVERAGE(AB116:AE116),1),"")</f>
        <v/>
      </c>
      <c r="AG116" s="13" t="n">
        <v>5.6</v>
      </c>
      <c r="AH116" s="13" t="n">
        <v>5</v>
      </c>
      <c r="AI116" s="13" t="n">
        <v>6.2</v>
      </c>
      <c r="AJ116" s="13" t="n">
        <v>5.8</v>
      </c>
      <c r="AK116" s="13">
        <f>IFERROR(ROUND(AVERAGE(AG116:AJ116),1),"")</f>
        <v/>
      </c>
      <c r="AL116" s="13" t="inlineStr"/>
      <c r="AM116" s="13" t="inlineStr"/>
      <c r="AN116" s="13" t="inlineStr"/>
      <c r="AO116" s="13">
        <f>IFERROR(ROUND(AVERAGE(AL116:AN116),1),"")</f>
        <v/>
      </c>
      <c r="AP116" s="13" t="n">
        <v>9.199999999999999</v>
      </c>
      <c r="AQ116" s="13" t="n">
        <v>9.199999999999999</v>
      </c>
      <c r="AR116" s="13" t="n">
        <v>7</v>
      </c>
      <c r="AS116" s="13" t="n">
        <v>9.4</v>
      </c>
      <c r="AT116" s="13">
        <f>IFERROR(ROUND(AVERAGE(AP116:AS116),1),"")</f>
        <v/>
      </c>
      <c r="AU116" s="13" t="n">
        <v>6.2</v>
      </c>
      <c r="AV116" s="13" t="n">
        <v>6.4</v>
      </c>
      <c r="AW116" s="13" t="n">
        <v>6.6</v>
      </c>
      <c r="AX116" s="13" t="n">
        <v>6.2</v>
      </c>
      <c r="AY116" s="13">
        <f>IFERROR(ROUND(AVERAGE(AU116:AX116),1),"")</f>
        <v/>
      </c>
      <c r="AZ116" s="13">
        <f>ROUND(0.19*N(Q116)+0.17*N(V116)+0.17*N(AA116)+0.1*N(AF116)+0.09*N(AK116)+0.12*N(AT116)+0.16*N(AY116),1)</f>
        <v/>
      </c>
      <c r="BA116" s="13" t="inlineStr">
        <is>
          <t>128K</t>
        </is>
      </c>
      <c r="BB116" s="13" t="n"/>
      <c r="BC116" s="13" t="inlineStr"/>
      <c r="BD116" s="13" t="inlineStr"/>
      <c r="BE116" s="13" t="inlineStr">
        <is>
          <t>medium</t>
        </is>
      </c>
      <c r="BF116" s="13" t="n">
        <v>3</v>
      </c>
      <c r="BG116" s="13" t="n">
        <v>3</v>
      </c>
      <c r="BH116" s="13" t="inlineStr">
        <is>
          <t>Ultra-fast cheap open-weight (Groq instant)</t>
        </is>
      </c>
      <c r="BI116" s="13" t="inlineStr">
        <is>
          <t>Depth</t>
        </is>
      </c>
      <c r="BJ116" s="15" t="inlineStr">
        <is>
          <t>M</t>
        </is>
      </c>
      <c r="BK116" s="13" t="inlineStr">
        <is>
          <t>3.1 small; family-inherited estimate (scaled from flagship); verify before HIGH-stakes routing</t>
        </is>
      </c>
      <c r="BL116" s="13" t="inlineStr">
        <is>
          <t>2026-06-07</t>
        </is>
      </c>
    </row>
    <row r="117">
      <c r="A117" s="13" t="inlineStr">
        <is>
          <t>meta-llama/Llama-3.1-8B-Instruct</t>
        </is>
      </c>
      <c r="B117" s="13" t="inlineStr">
        <is>
          <t>Llama 3.1 8B</t>
        </is>
      </c>
      <c r="C117" s="13" t="inlineStr">
        <is>
          <t>Meta</t>
        </is>
      </c>
      <c r="D117" s="13" t="inlineStr">
        <is>
          <t>Llama 3.1</t>
        </is>
      </c>
      <c r="E117" s="13" t="inlineStr">
        <is>
          <t>8b</t>
        </is>
      </c>
      <c r="F117" s="13" t="inlineStr">
        <is>
          <t>Legacy</t>
        </is>
      </c>
      <c r="G117" s="13" t="inlineStr">
        <is>
          <t>Open-Weight / Fast</t>
        </is>
      </c>
      <c r="H117" s="13" t="inlineStr">
        <is>
          <t>Amazon Bedrock (Kiro)</t>
        </is>
      </c>
      <c r="I117" s="13" t="inlineStr">
        <is>
          <t>Aggregator</t>
        </is>
      </c>
      <c r="J117" s="13" t="inlineStr">
        <is>
          <t>Installed; login unverified</t>
        </is>
      </c>
      <c r="K117" s="13" t="inlineStr">
        <is>
          <t>metered (not configured)</t>
        </is>
      </c>
      <c r="L117" s="13" t="inlineStr">
        <is>
          <t>No</t>
        </is>
      </c>
      <c r="M117" s="13" t="n">
        <v>6</v>
      </c>
      <c r="N117" s="13" t="n">
        <v>5.4</v>
      </c>
      <c r="O117" s="13" t="n">
        <v>5.4</v>
      </c>
      <c r="P117" s="13" t="n">
        <v>6</v>
      </c>
      <c r="Q117" s="13">
        <f>IFERROR(ROUND(AVERAGE(M117:P117),1),"")</f>
        <v/>
      </c>
      <c r="R117" s="13" t="n">
        <v>5.8</v>
      </c>
      <c r="S117" s="13" t="n">
        <v>5</v>
      </c>
      <c r="T117" s="13" t="n">
        <v>5.4</v>
      </c>
      <c r="U117" s="13" t="n">
        <v>5.8</v>
      </c>
      <c r="V117" s="13">
        <f>IFERROR(ROUND(AVERAGE(R117:U117),1),"")</f>
        <v/>
      </c>
      <c r="W117" s="13" t="n">
        <v>6</v>
      </c>
      <c r="X117" s="13" t="n">
        <v>5.6</v>
      </c>
      <c r="Y117" s="13" t="n">
        <v>5</v>
      </c>
      <c r="Z117" s="13" t="n">
        <v>6.2</v>
      </c>
      <c r="AA117" s="13">
        <f>IFERROR(ROUND(AVERAGE(W117:Z117),1),"")</f>
        <v/>
      </c>
      <c r="AB117" s="13" t="n">
        <v>6.4</v>
      </c>
      <c r="AC117" s="13" t="n">
        <v>6.4</v>
      </c>
      <c r="AD117" s="13" t="n">
        <v>6.2</v>
      </c>
      <c r="AE117" s="13" t="n">
        <v>6.6</v>
      </c>
      <c r="AF117" s="13">
        <f>IFERROR(ROUND(AVERAGE(AB117:AE117),1),"")</f>
        <v/>
      </c>
      <c r="AG117" s="13" t="n">
        <v>5.6</v>
      </c>
      <c r="AH117" s="13" t="n">
        <v>5</v>
      </c>
      <c r="AI117" s="13" t="n">
        <v>6.2</v>
      </c>
      <c r="AJ117" s="13" t="n">
        <v>5.8</v>
      </c>
      <c r="AK117" s="13">
        <f>IFERROR(ROUND(AVERAGE(AG117:AJ117),1),"")</f>
        <v/>
      </c>
      <c r="AL117" s="13" t="inlineStr"/>
      <c r="AM117" s="13" t="inlineStr"/>
      <c r="AN117" s="13" t="inlineStr"/>
      <c r="AO117" s="13">
        <f>IFERROR(ROUND(AVERAGE(AL117:AN117),1),"")</f>
        <v/>
      </c>
      <c r="AP117" s="13" t="n">
        <v>9.199999999999999</v>
      </c>
      <c r="AQ117" s="13" t="n">
        <v>9.199999999999999</v>
      </c>
      <c r="AR117" s="13" t="n">
        <v>7</v>
      </c>
      <c r="AS117" s="13" t="n">
        <v>9.4</v>
      </c>
      <c r="AT117" s="13">
        <f>IFERROR(ROUND(AVERAGE(AP117:AS117),1),"")</f>
        <v/>
      </c>
      <c r="AU117" s="13" t="n">
        <v>6.2</v>
      </c>
      <c r="AV117" s="13" t="n">
        <v>6.4</v>
      </c>
      <c r="AW117" s="13" t="n">
        <v>6.6</v>
      </c>
      <c r="AX117" s="13" t="n">
        <v>6.2</v>
      </c>
      <c r="AY117" s="13">
        <f>IFERROR(ROUND(AVERAGE(AU117:AX117),1),"")</f>
        <v/>
      </c>
      <c r="AZ117" s="13">
        <f>ROUND(0.19*N(Q117)+0.17*N(V117)+0.17*N(AA117)+0.1*N(AF117)+0.09*N(AK117)+0.12*N(AT117)+0.16*N(AY117),1)</f>
        <v/>
      </c>
      <c r="BA117" s="13" t="inlineStr">
        <is>
          <t>128K</t>
        </is>
      </c>
      <c r="BB117" s="13" t="n"/>
      <c r="BC117" s="13" t="inlineStr"/>
      <c r="BD117" s="13" t="inlineStr"/>
      <c r="BE117" s="13" t="inlineStr">
        <is>
          <t>medium</t>
        </is>
      </c>
      <c r="BF117" s="13" t="n">
        <v>3</v>
      </c>
      <c r="BG117" s="13" t="n">
        <v>3</v>
      </c>
      <c r="BH117" s="13" t="inlineStr">
        <is>
          <t>Ultra-fast cheap open-weight (Groq instant)</t>
        </is>
      </c>
      <c r="BI117" s="13" t="inlineStr">
        <is>
          <t>Depth</t>
        </is>
      </c>
      <c r="BJ117" s="15" t="inlineStr">
        <is>
          <t>M</t>
        </is>
      </c>
      <c r="BK117" s="13" t="inlineStr">
        <is>
          <t>3.1 small; family-inherited estimate (scaled from flagship); verify before HIGH-stakes routing</t>
        </is>
      </c>
      <c r="BL117" s="13" t="inlineStr">
        <is>
          <t>2026-06-07</t>
        </is>
      </c>
    </row>
    <row r="118">
      <c r="A118" s="13" t="inlineStr">
        <is>
          <t>meta-llama/Llama-3.1-8B-Instruct</t>
        </is>
      </c>
      <c r="B118" s="13" t="inlineStr">
        <is>
          <t>Llama 3.1 8B</t>
        </is>
      </c>
      <c r="C118" s="13" t="inlineStr">
        <is>
          <t>Meta</t>
        </is>
      </c>
      <c r="D118" s="13" t="inlineStr">
        <is>
          <t>Llama 3.1</t>
        </is>
      </c>
      <c r="E118" s="13" t="inlineStr">
        <is>
          <t>8b</t>
        </is>
      </c>
      <c r="F118" s="13" t="inlineStr">
        <is>
          <t>Legacy</t>
        </is>
      </c>
      <c r="G118" s="13" t="inlineStr">
        <is>
          <t>Open-Weight / Fast</t>
        </is>
      </c>
      <c r="H118" s="13" t="inlineStr">
        <is>
          <t>OpenRouter</t>
        </is>
      </c>
      <c r="I118" s="13" t="inlineStr">
        <is>
          <t>Aggregator</t>
        </is>
      </c>
      <c r="J118" s="13" t="inlineStr">
        <is>
          <t>Not-keyed</t>
        </is>
      </c>
      <c r="K118" s="13" t="inlineStr">
        <is>
          <t>metered (not configured)</t>
        </is>
      </c>
      <c r="L118" s="13" t="inlineStr">
        <is>
          <t>No</t>
        </is>
      </c>
      <c r="M118" s="13" t="n">
        <v>6</v>
      </c>
      <c r="N118" s="13" t="n">
        <v>5.4</v>
      </c>
      <c r="O118" s="13" t="n">
        <v>5.4</v>
      </c>
      <c r="P118" s="13" t="n">
        <v>6</v>
      </c>
      <c r="Q118" s="13">
        <f>IFERROR(ROUND(AVERAGE(M118:P118),1),"")</f>
        <v/>
      </c>
      <c r="R118" s="13" t="n">
        <v>5.8</v>
      </c>
      <c r="S118" s="13" t="n">
        <v>5</v>
      </c>
      <c r="T118" s="13" t="n">
        <v>5.4</v>
      </c>
      <c r="U118" s="13" t="n">
        <v>5.8</v>
      </c>
      <c r="V118" s="13">
        <f>IFERROR(ROUND(AVERAGE(R118:U118),1),"")</f>
        <v/>
      </c>
      <c r="W118" s="13" t="n">
        <v>6</v>
      </c>
      <c r="X118" s="13" t="n">
        <v>5.6</v>
      </c>
      <c r="Y118" s="13" t="n">
        <v>5</v>
      </c>
      <c r="Z118" s="13" t="n">
        <v>6.2</v>
      </c>
      <c r="AA118" s="13">
        <f>IFERROR(ROUND(AVERAGE(W118:Z118),1),"")</f>
        <v/>
      </c>
      <c r="AB118" s="13" t="n">
        <v>6.4</v>
      </c>
      <c r="AC118" s="13" t="n">
        <v>6.4</v>
      </c>
      <c r="AD118" s="13" t="n">
        <v>6.2</v>
      </c>
      <c r="AE118" s="13" t="n">
        <v>6.6</v>
      </c>
      <c r="AF118" s="13">
        <f>IFERROR(ROUND(AVERAGE(AB118:AE118),1),"")</f>
        <v/>
      </c>
      <c r="AG118" s="13" t="n">
        <v>5.6</v>
      </c>
      <c r="AH118" s="13" t="n">
        <v>5</v>
      </c>
      <c r="AI118" s="13" t="n">
        <v>6.2</v>
      </c>
      <c r="AJ118" s="13" t="n">
        <v>5.8</v>
      </c>
      <c r="AK118" s="13">
        <f>IFERROR(ROUND(AVERAGE(AG118:AJ118),1),"")</f>
        <v/>
      </c>
      <c r="AL118" s="13" t="inlineStr"/>
      <c r="AM118" s="13" t="inlineStr"/>
      <c r="AN118" s="13" t="inlineStr"/>
      <c r="AO118" s="13">
        <f>IFERROR(ROUND(AVERAGE(AL118:AN118),1),"")</f>
        <v/>
      </c>
      <c r="AP118" s="13" t="n">
        <v>9.199999999999999</v>
      </c>
      <c r="AQ118" s="13" t="n">
        <v>9.199999999999999</v>
      </c>
      <c r="AR118" s="13" t="n">
        <v>7</v>
      </c>
      <c r="AS118" s="13" t="n">
        <v>9.4</v>
      </c>
      <c r="AT118" s="13">
        <f>IFERROR(ROUND(AVERAGE(AP118:AS118),1),"")</f>
        <v/>
      </c>
      <c r="AU118" s="13" t="n">
        <v>6.2</v>
      </c>
      <c r="AV118" s="13" t="n">
        <v>6.4</v>
      </c>
      <c r="AW118" s="13" t="n">
        <v>6.6</v>
      </c>
      <c r="AX118" s="13" t="n">
        <v>6.2</v>
      </c>
      <c r="AY118" s="13">
        <f>IFERROR(ROUND(AVERAGE(AU118:AX118),1),"")</f>
        <v/>
      </c>
      <c r="AZ118" s="13">
        <f>ROUND(0.19*N(Q118)+0.17*N(V118)+0.17*N(AA118)+0.1*N(AF118)+0.09*N(AK118)+0.12*N(AT118)+0.16*N(AY118),1)</f>
        <v/>
      </c>
      <c r="BA118" s="13" t="inlineStr">
        <is>
          <t>128K</t>
        </is>
      </c>
      <c r="BB118" s="13" t="n"/>
      <c r="BC118" s="13" t="inlineStr"/>
      <c r="BD118" s="13" t="inlineStr"/>
      <c r="BE118" s="13" t="inlineStr">
        <is>
          <t>medium</t>
        </is>
      </c>
      <c r="BF118" s="13" t="n">
        <v>3</v>
      </c>
      <c r="BG118" s="13" t="n">
        <v>3</v>
      </c>
      <c r="BH118" s="13" t="inlineStr">
        <is>
          <t>Ultra-fast cheap open-weight (Groq instant)</t>
        </is>
      </c>
      <c r="BI118" s="13" t="inlineStr">
        <is>
          <t>Depth</t>
        </is>
      </c>
      <c r="BJ118" s="15" t="inlineStr">
        <is>
          <t>M</t>
        </is>
      </c>
      <c r="BK118" s="13" t="inlineStr">
        <is>
          <t>3.1 small; family-inherited estimate (scaled from flagship); verify before HIGH-stakes routing</t>
        </is>
      </c>
      <c r="BL118" s="13" t="inlineStr">
        <is>
          <t>2026-06-07</t>
        </is>
      </c>
    </row>
    <row r="119">
      <c r="A119" s="13" t="inlineStr">
        <is>
          <t>meta-llama/Llama-3.2-90B-Vision-Instruct</t>
        </is>
      </c>
      <c r="B119" s="13" t="inlineStr">
        <is>
          <t>Llama 3.2 90B Vision</t>
        </is>
      </c>
      <c r="C119" s="13" t="inlineStr">
        <is>
          <t>Meta</t>
        </is>
      </c>
      <c r="D119" s="13" t="inlineStr">
        <is>
          <t>Llama 3.2</t>
        </is>
      </c>
      <c r="E119" s="13" t="inlineStr">
        <is>
          <t>90b-vision</t>
        </is>
      </c>
      <c r="F119" s="13" t="inlineStr">
        <is>
          <t>Legacy</t>
        </is>
      </c>
      <c r="G119" s="13" t="inlineStr">
        <is>
          <t>Open Multimodal</t>
        </is>
      </c>
      <c r="H119" s="13" t="inlineStr">
        <is>
          <t>Together AI</t>
        </is>
      </c>
      <c r="I119" s="13" t="inlineStr">
        <is>
          <t>Aggregator</t>
        </is>
      </c>
      <c r="J119" s="13" t="inlineStr">
        <is>
          <t>Not-keyed</t>
        </is>
      </c>
      <c r="K119" s="13" t="inlineStr">
        <is>
          <t>metered (not configured)</t>
        </is>
      </c>
      <c r="L119" s="13" t="inlineStr">
        <is>
          <t>No</t>
        </is>
      </c>
      <c r="M119" s="13" t="n">
        <v>7</v>
      </c>
      <c r="N119" s="13" t="n">
        <v>6.4</v>
      </c>
      <c r="O119" s="13" t="n">
        <v>6.4</v>
      </c>
      <c r="P119" s="13" t="n">
        <v>7</v>
      </c>
      <c r="Q119" s="13">
        <f>IFERROR(ROUND(AVERAGE(M119:P119),1),"")</f>
        <v/>
      </c>
      <c r="R119" s="13" t="n">
        <v>6.6</v>
      </c>
      <c r="S119" s="13" t="n">
        <v>5.8</v>
      </c>
      <c r="T119" s="13" t="n">
        <v>6.2</v>
      </c>
      <c r="U119" s="13" t="n">
        <v>6.6</v>
      </c>
      <c r="V119" s="13">
        <f>IFERROR(ROUND(AVERAGE(R119:U119),1),"")</f>
        <v/>
      </c>
      <c r="W119" s="13" t="n">
        <v>6.6</v>
      </c>
      <c r="X119" s="13" t="n">
        <v>6.2</v>
      </c>
      <c r="Y119" s="13" t="n">
        <v>5.8</v>
      </c>
      <c r="Z119" s="13" t="n">
        <v>6.8</v>
      </c>
      <c r="AA119" s="13">
        <f>IFERROR(ROUND(AVERAGE(W119:Z119),1),"")</f>
        <v/>
      </c>
      <c r="AB119" s="13" t="n">
        <v>7</v>
      </c>
      <c r="AC119" s="13" t="n">
        <v>7</v>
      </c>
      <c r="AD119" s="13" t="n">
        <v>6.8</v>
      </c>
      <c r="AE119" s="13" t="n">
        <v>7.2</v>
      </c>
      <c r="AF119" s="13">
        <f>IFERROR(ROUND(AVERAGE(AB119:AE119),1),"")</f>
        <v/>
      </c>
      <c r="AG119" s="13" t="n">
        <v>6.4</v>
      </c>
      <c r="AH119" s="13" t="n">
        <v>5.8</v>
      </c>
      <c r="AI119" s="13" t="n">
        <v>6.6</v>
      </c>
      <c r="AJ119" s="13" t="n">
        <v>6.4</v>
      </c>
      <c r="AK119" s="13">
        <f>IFERROR(ROUND(AVERAGE(AG119:AJ119),1),"")</f>
        <v/>
      </c>
      <c r="AL119" s="13" t="n">
        <v>7.6</v>
      </c>
      <c r="AM119" s="13" t="n">
        <v>7.4</v>
      </c>
      <c r="AN119" s="13" t="inlineStr"/>
      <c r="AO119" s="13">
        <f>IFERROR(ROUND(AVERAGE(AL119:AN119),1),"")</f>
        <v/>
      </c>
      <c r="AP119" s="13" t="n">
        <v>7.5</v>
      </c>
      <c r="AQ119" s="13" t="n">
        <v>7.5</v>
      </c>
      <c r="AR119" s="13" t="n">
        <v>7</v>
      </c>
      <c r="AS119" s="13" t="n">
        <v>8.5</v>
      </c>
      <c r="AT119" s="13">
        <f>IFERROR(ROUND(AVERAGE(AP119:AS119),1),"")</f>
        <v/>
      </c>
      <c r="AU119" s="13" t="n">
        <v>6.8</v>
      </c>
      <c r="AV119" s="13" t="n">
        <v>7</v>
      </c>
      <c r="AW119" s="13" t="n">
        <v>7</v>
      </c>
      <c r="AX119" s="13" t="n">
        <v>6.8</v>
      </c>
      <c r="AY119" s="13">
        <f>IFERROR(ROUND(AVERAGE(AU119:AX119),1),"")</f>
        <v/>
      </c>
      <c r="AZ119" s="13">
        <f>ROUND(0.19*N(Q119)+0.17*N(V119)+0.17*N(AA119)+0.1*N(AF119)+0.09*N(AK119)+0.12*N(AT119)+0.16*N(AY119),1)</f>
        <v/>
      </c>
      <c r="BA119" s="13" t="inlineStr">
        <is>
          <t>128K</t>
        </is>
      </c>
      <c r="BB119" s="13" t="n"/>
      <c r="BC119" s="13" t="inlineStr"/>
      <c r="BD119" s="13" t="inlineStr"/>
      <c r="BE119" s="13" t="inlineStr">
        <is>
          <t>high</t>
        </is>
      </c>
      <c r="BF119" s="13" t="n">
        <v>3</v>
      </c>
      <c r="BG119" s="13" t="n">
        <v>3</v>
      </c>
      <c r="BH119" s="13" t="inlineStr">
        <is>
          <t>Open-weight vision-language</t>
        </is>
      </c>
      <c r="BI119" s="13" t="inlineStr"/>
      <c r="BJ119" s="15" t="inlineStr">
        <is>
          <t>M</t>
        </is>
      </c>
      <c r="BK119" s="13" t="inlineStr">
        <is>
          <t>Llama vision; family-inherited estimate (scaled from flagship); verify before HIGH-stakes routing</t>
        </is>
      </c>
      <c r="BL119" s="13" t="inlineStr">
        <is>
          <t>2026-06-07</t>
        </is>
      </c>
    </row>
    <row r="120">
      <c r="A120" s="13" t="inlineStr">
        <is>
          <t>meta-llama/Llama-3.2-90B-Vision-Instruct</t>
        </is>
      </c>
      <c r="B120" s="13" t="inlineStr">
        <is>
          <t>Llama 3.2 90B Vision</t>
        </is>
      </c>
      <c r="C120" s="13" t="inlineStr">
        <is>
          <t>Meta</t>
        </is>
      </c>
      <c r="D120" s="13" t="inlineStr">
        <is>
          <t>Llama 3.2</t>
        </is>
      </c>
      <c r="E120" s="13" t="inlineStr">
        <is>
          <t>90b-vision</t>
        </is>
      </c>
      <c r="F120" s="13" t="inlineStr">
        <is>
          <t>Legacy</t>
        </is>
      </c>
      <c r="G120" s="13" t="inlineStr">
        <is>
          <t>Open Multimodal</t>
        </is>
      </c>
      <c r="H120" s="13" t="inlineStr">
        <is>
          <t>Amazon Bedrock (Kiro)</t>
        </is>
      </c>
      <c r="I120" s="13" t="inlineStr">
        <is>
          <t>Aggregator</t>
        </is>
      </c>
      <c r="J120" s="13" t="inlineStr">
        <is>
          <t>Installed; login unverified</t>
        </is>
      </c>
      <c r="K120" s="13" t="inlineStr">
        <is>
          <t>metered (not configured)</t>
        </is>
      </c>
      <c r="L120" s="13" t="inlineStr">
        <is>
          <t>No</t>
        </is>
      </c>
      <c r="M120" s="13" t="n">
        <v>7</v>
      </c>
      <c r="N120" s="13" t="n">
        <v>6.4</v>
      </c>
      <c r="O120" s="13" t="n">
        <v>6.4</v>
      </c>
      <c r="P120" s="13" t="n">
        <v>7</v>
      </c>
      <c r="Q120" s="13">
        <f>IFERROR(ROUND(AVERAGE(M120:P120),1),"")</f>
        <v/>
      </c>
      <c r="R120" s="13" t="n">
        <v>6.6</v>
      </c>
      <c r="S120" s="13" t="n">
        <v>5.8</v>
      </c>
      <c r="T120" s="13" t="n">
        <v>6.2</v>
      </c>
      <c r="U120" s="13" t="n">
        <v>6.6</v>
      </c>
      <c r="V120" s="13">
        <f>IFERROR(ROUND(AVERAGE(R120:U120),1),"")</f>
        <v/>
      </c>
      <c r="W120" s="13" t="n">
        <v>6.6</v>
      </c>
      <c r="X120" s="13" t="n">
        <v>6.2</v>
      </c>
      <c r="Y120" s="13" t="n">
        <v>5.8</v>
      </c>
      <c r="Z120" s="13" t="n">
        <v>6.8</v>
      </c>
      <c r="AA120" s="13">
        <f>IFERROR(ROUND(AVERAGE(W120:Z120),1),"")</f>
        <v/>
      </c>
      <c r="AB120" s="13" t="n">
        <v>7</v>
      </c>
      <c r="AC120" s="13" t="n">
        <v>7</v>
      </c>
      <c r="AD120" s="13" t="n">
        <v>6.8</v>
      </c>
      <c r="AE120" s="13" t="n">
        <v>7.2</v>
      </c>
      <c r="AF120" s="13">
        <f>IFERROR(ROUND(AVERAGE(AB120:AE120),1),"")</f>
        <v/>
      </c>
      <c r="AG120" s="13" t="n">
        <v>6.4</v>
      </c>
      <c r="AH120" s="13" t="n">
        <v>5.8</v>
      </c>
      <c r="AI120" s="13" t="n">
        <v>6.6</v>
      </c>
      <c r="AJ120" s="13" t="n">
        <v>6.4</v>
      </c>
      <c r="AK120" s="13">
        <f>IFERROR(ROUND(AVERAGE(AG120:AJ120),1),"")</f>
        <v/>
      </c>
      <c r="AL120" s="13" t="n">
        <v>7.6</v>
      </c>
      <c r="AM120" s="13" t="n">
        <v>7.4</v>
      </c>
      <c r="AN120" s="13" t="inlineStr"/>
      <c r="AO120" s="13">
        <f>IFERROR(ROUND(AVERAGE(AL120:AN120),1),"")</f>
        <v/>
      </c>
      <c r="AP120" s="13" t="n">
        <v>7.5</v>
      </c>
      <c r="AQ120" s="13" t="n">
        <v>7.5</v>
      </c>
      <c r="AR120" s="13" t="n">
        <v>7</v>
      </c>
      <c r="AS120" s="13" t="n">
        <v>8.5</v>
      </c>
      <c r="AT120" s="13">
        <f>IFERROR(ROUND(AVERAGE(AP120:AS120),1),"")</f>
        <v/>
      </c>
      <c r="AU120" s="13" t="n">
        <v>6.8</v>
      </c>
      <c r="AV120" s="13" t="n">
        <v>7</v>
      </c>
      <c r="AW120" s="13" t="n">
        <v>7</v>
      </c>
      <c r="AX120" s="13" t="n">
        <v>6.8</v>
      </c>
      <c r="AY120" s="13">
        <f>IFERROR(ROUND(AVERAGE(AU120:AX120),1),"")</f>
        <v/>
      </c>
      <c r="AZ120" s="13">
        <f>ROUND(0.19*N(Q120)+0.17*N(V120)+0.17*N(AA120)+0.1*N(AF120)+0.09*N(AK120)+0.12*N(AT120)+0.16*N(AY120),1)</f>
        <v/>
      </c>
      <c r="BA120" s="13" t="inlineStr">
        <is>
          <t>128K</t>
        </is>
      </c>
      <c r="BB120" s="13" t="n"/>
      <c r="BC120" s="13" t="inlineStr"/>
      <c r="BD120" s="13" t="inlineStr"/>
      <c r="BE120" s="13" t="inlineStr">
        <is>
          <t>high</t>
        </is>
      </c>
      <c r="BF120" s="13" t="n">
        <v>3</v>
      </c>
      <c r="BG120" s="13" t="n">
        <v>3</v>
      </c>
      <c r="BH120" s="13" t="inlineStr">
        <is>
          <t>Open-weight vision-language</t>
        </is>
      </c>
      <c r="BI120" s="13" t="inlineStr"/>
      <c r="BJ120" s="15" t="inlineStr">
        <is>
          <t>M</t>
        </is>
      </c>
      <c r="BK120" s="13" t="inlineStr">
        <is>
          <t>Llama vision; family-inherited estimate (scaled from flagship); verify before HIGH-stakes routing</t>
        </is>
      </c>
      <c r="BL120" s="13" t="inlineStr">
        <is>
          <t>2026-06-07</t>
        </is>
      </c>
    </row>
    <row r="121">
      <c r="A121" s="13" t="inlineStr">
        <is>
          <t>meta-llama/Llama-3.2-90B-Vision-Instruct</t>
        </is>
      </c>
      <c r="B121" s="13" t="inlineStr">
        <is>
          <t>Llama 3.2 90B Vision</t>
        </is>
      </c>
      <c r="C121" s="13" t="inlineStr">
        <is>
          <t>Meta</t>
        </is>
      </c>
      <c r="D121" s="13" t="inlineStr">
        <is>
          <t>Llama 3.2</t>
        </is>
      </c>
      <c r="E121" s="13" t="inlineStr">
        <is>
          <t>90b-vision</t>
        </is>
      </c>
      <c r="F121" s="13" t="inlineStr">
        <is>
          <t>Legacy</t>
        </is>
      </c>
      <c r="G121" s="13" t="inlineStr">
        <is>
          <t>Open Multimodal</t>
        </is>
      </c>
      <c r="H121" s="13" t="inlineStr">
        <is>
          <t>OpenRouter</t>
        </is>
      </c>
      <c r="I121" s="13" t="inlineStr">
        <is>
          <t>Aggregator</t>
        </is>
      </c>
      <c r="J121" s="13" t="inlineStr">
        <is>
          <t>Not-keyed</t>
        </is>
      </c>
      <c r="K121" s="13" t="inlineStr">
        <is>
          <t>metered (not configured)</t>
        </is>
      </c>
      <c r="L121" s="13" t="inlineStr">
        <is>
          <t>No</t>
        </is>
      </c>
      <c r="M121" s="13" t="n">
        <v>7</v>
      </c>
      <c r="N121" s="13" t="n">
        <v>6.4</v>
      </c>
      <c r="O121" s="13" t="n">
        <v>6.4</v>
      </c>
      <c r="P121" s="13" t="n">
        <v>7</v>
      </c>
      <c r="Q121" s="13">
        <f>IFERROR(ROUND(AVERAGE(M121:P121),1),"")</f>
        <v/>
      </c>
      <c r="R121" s="13" t="n">
        <v>6.6</v>
      </c>
      <c r="S121" s="13" t="n">
        <v>5.8</v>
      </c>
      <c r="T121" s="13" t="n">
        <v>6.2</v>
      </c>
      <c r="U121" s="13" t="n">
        <v>6.6</v>
      </c>
      <c r="V121" s="13">
        <f>IFERROR(ROUND(AVERAGE(R121:U121),1),"")</f>
        <v/>
      </c>
      <c r="W121" s="13" t="n">
        <v>6.6</v>
      </c>
      <c r="X121" s="13" t="n">
        <v>6.2</v>
      </c>
      <c r="Y121" s="13" t="n">
        <v>5.8</v>
      </c>
      <c r="Z121" s="13" t="n">
        <v>6.8</v>
      </c>
      <c r="AA121" s="13">
        <f>IFERROR(ROUND(AVERAGE(W121:Z121),1),"")</f>
        <v/>
      </c>
      <c r="AB121" s="13" t="n">
        <v>7</v>
      </c>
      <c r="AC121" s="13" t="n">
        <v>7</v>
      </c>
      <c r="AD121" s="13" t="n">
        <v>6.8</v>
      </c>
      <c r="AE121" s="13" t="n">
        <v>7.2</v>
      </c>
      <c r="AF121" s="13">
        <f>IFERROR(ROUND(AVERAGE(AB121:AE121),1),"")</f>
        <v/>
      </c>
      <c r="AG121" s="13" t="n">
        <v>6.4</v>
      </c>
      <c r="AH121" s="13" t="n">
        <v>5.8</v>
      </c>
      <c r="AI121" s="13" t="n">
        <v>6.6</v>
      </c>
      <c r="AJ121" s="13" t="n">
        <v>6.4</v>
      </c>
      <c r="AK121" s="13">
        <f>IFERROR(ROUND(AVERAGE(AG121:AJ121),1),"")</f>
        <v/>
      </c>
      <c r="AL121" s="13" t="n">
        <v>7.6</v>
      </c>
      <c r="AM121" s="13" t="n">
        <v>7.4</v>
      </c>
      <c r="AN121" s="13" t="inlineStr"/>
      <c r="AO121" s="13">
        <f>IFERROR(ROUND(AVERAGE(AL121:AN121),1),"")</f>
        <v/>
      </c>
      <c r="AP121" s="13" t="n">
        <v>7.5</v>
      </c>
      <c r="AQ121" s="13" t="n">
        <v>7.5</v>
      </c>
      <c r="AR121" s="13" t="n">
        <v>7</v>
      </c>
      <c r="AS121" s="13" t="n">
        <v>8.5</v>
      </c>
      <c r="AT121" s="13">
        <f>IFERROR(ROUND(AVERAGE(AP121:AS121),1),"")</f>
        <v/>
      </c>
      <c r="AU121" s="13" t="n">
        <v>6.8</v>
      </c>
      <c r="AV121" s="13" t="n">
        <v>7</v>
      </c>
      <c r="AW121" s="13" t="n">
        <v>7</v>
      </c>
      <c r="AX121" s="13" t="n">
        <v>6.8</v>
      </c>
      <c r="AY121" s="13">
        <f>IFERROR(ROUND(AVERAGE(AU121:AX121),1),"")</f>
        <v/>
      </c>
      <c r="AZ121" s="13">
        <f>ROUND(0.19*N(Q121)+0.17*N(V121)+0.17*N(AA121)+0.1*N(AF121)+0.09*N(AK121)+0.12*N(AT121)+0.16*N(AY121),1)</f>
        <v/>
      </c>
      <c r="BA121" s="13" t="inlineStr">
        <is>
          <t>128K</t>
        </is>
      </c>
      <c r="BB121" s="13" t="n"/>
      <c r="BC121" s="13" t="inlineStr"/>
      <c r="BD121" s="13" t="inlineStr"/>
      <c r="BE121" s="13" t="inlineStr">
        <is>
          <t>high</t>
        </is>
      </c>
      <c r="BF121" s="13" t="n">
        <v>3</v>
      </c>
      <c r="BG121" s="13" t="n">
        <v>3</v>
      </c>
      <c r="BH121" s="13" t="inlineStr">
        <is>
          <t>Open-weight vision-language</t>
        </is>
      </c>
      <c r="BI121" s="13" t="inlineStr"/>
      <c r="BJ121" s="15" t="inlineStr">
        <is>
          <t>M</t>
        </is>
      </c>
      <c r="BK121" s="13" t="inlineStr">
        <is>
          <t>Llama vision; family-inherited estimate (scaled from flagship); verify before HIGH-stakes routing</t>
        </is>
      </c>
      <c r="BL121" s="13" t="inlineStr">
        <is>
          <t>2026-06-07</t>
        </is>
      </c>
    </row>
    <row r="122">
      <c r="A122" s="13" t="inlineStr">
        <is>
          <t>mistral-large-3-25-12</t>
        </is>
      </c>
      <c r="B122" s="13" t="inlineStr">
        <is>
          <t>Mistral Large 3</t>
        </is>
      </c>
      <c r="C122" s="13" t="inlineStr">
        <is>
          <t>Mistral</t>
        </is>
      </c>
      <c r="D122" s="13" t="inlineStr">
        <is>
          <t>Mistral Large</t>
        </is>
      </c>
      <c r="E122" s="13" t="inlineStr">
        <is>
          <t>3</t>
        </is>
      </c>
      <c r="F122" s="13" t="inlineStr">
        <is>
          <t>Current</t>
        </is>
      </c>
      <c r="G122" s="13" t="inlineStr">
        <is>
          <t>Open/Flagship (MoE)</t>
        </is>
      </c>
      <c r="H122" s="13" t="inlineStr">
        <is>
          <t>Mistral API</t>
        </is>
      </c>
      <c r="I122" s="13" t="inlineStr">
        <is>
          <t>HTTP API</t>
        </is>
      </c>
      <c r="J122" s="13" t="inlineStr">
        <is>
          <t>Not-keyed</t>
        </is>
      </c>
      <c r="K122" s="13" t="inlineStr">
        <is>
          <t>metered (not configured)</t>
        </is>
      </c>
      <c r="L122" s="13" t="inlineStr">
        <is>
          <t>No</t>
        </is>
      </c>
      <c r="M122" s="13" t="n">
        <v>8.199999999999999</v>
      </c>
      <c r="N122" s="13" t="n">
        <v>7.8</v>
      </c>
      <c r="O122" s="13" t="n">
        <v>7.8</v>
      </c>
      <c r="P122" s="13" t="n">
        <v>8</v>
      </c>
      <c r="Q122" s="13">
        <f>IFERROR(ROUND(AVERAGE(M122:P122),1),"")</f>
        <v/>
      </c>
      <c r="R122" s="13" t="n">
        <v>8</v>
      </c>
      <c r="S122" s="13" t="n">
        <v>7.4</v>
      </c>
      <c r="T122" s="13" t="n">
        <v>7.6</v>
      </c>
      <c r="U122" s="13" t="n">
        <v>8</v>
      </c>
      <c r="V122" s="13">
        <f>IFERROR(ROUND(AVERAGE(R122:U122),1),"")</f>
        <v/>
      </c>
      <c r="W122" s="13" t="n">
        <v>8</v>
      </c>
      <c r="X122" s="13" t="n">
        <v>7.6</v>
      </c>
      <c r="Y122" s="13" t="n">
        <v>7.4</v>
      </c>
      <c r="Z122" s="13" t="n">
        <v>8</v>
      </c>
      <c r="AA122" s="13">
        <f>IFERROR(ROUND(AVERAGE(W122:Z122),1),"")</f>
        <v/>
      </c>
      <c r="AB122" s="13" t="n">
        <v>8.199999999999999</v>
      </c>
      <c r="AC122" s="13" t="n">
        <v>8.199999999999999</v>
      </c>
      <c r="AD122" s="13" t="n">
        <v>8</v>
      </c>
      <c r="AE122" s="13" t="n">
        <v>8.6</v>
      </c>
      <c r="AF122" s="13">
        <f>IFERROR(ROUND(AVERAGE(AB122:AE122),1),"")</f>
        <v/>
      </c>
      <c r="AG122" s="13" t="n">
        <v>7.6</v>
      </c>
      <c r="AH122" s="13" t="n">
        <v>7</v>
      </c>
      <c r="AI122" s="13" t="n">
        <v>8</v>
      </c>
      <c r="AJ122" s="13" t="n">
        <v>7.8</v>
      </c>
      <c r="AK122" s="13">
        <f>IFERROR(ROUND(AVERAGE(AG122:AJ122),1),"")</f>
        <v/>
      </c>
      <c r="AL122" s="13" t="inlineStr"/>
      <c r="AM122" s="13" t="inlineStr"/>
      <c r="AN122" s="13" t="inlineStr"/>
      <c r="AO122" s="13">
        <f>IFERROR(ROUND(AVERAGE(AL122:AN122),1),"")</f>
        <v/>
      </c>
      <c r="AP122" s="13" t="n">
        <v>7.5</v>
      </c>
      <c r="AQ122" s="13" t="n">
        <v>7.5</v>
      </c>
      <c r="AR122" s="13" t="n">
        <v>7</v>
      </c>
      <c r="AS122" s="13" t="n">
        <v>7.5</v>
      </c>
      <c r="AT122" s="13">
        <f>IFERROR(ROUND(AVERAGE(AP122:AS122),1),"")</f>
        <v/>
      </c>
      <c r="AU122" s="13" t="n">
        <v>7.8</v>
      </c>
      <c r="AV122" s="13" t="n">
        <v>7.8</v>
      </c>
      <c r="AW122" s="13" t="n">
        <v>7.8</v>
      </c>
      <c r="AX122" s="13" t="n">
        <v>7.6</v>
      </c>
      <c r="AY122" s="13">
        <f>IFERROR(ROUND(AVERAGE(AU122:AX122),1),"")</f>
        <v/>
      </c>
      <c r="AZ122" s="13">
        <f>ROUND(0.19*N(Q122)+0.17*N(V122)+0.17*N(AA122)+0.1*N(AF122)+0.09*N(AK122)+0.12*N(AT122)+0.16*N(AY122),1)</f>
        <v/>
      </c>
      <c r="BA122" s="13" t="inlineStr">
        <is>
          <t>256K</t>
        </is>
      </c>
      <c r="BB122" s="13" t="n"/>
      <c r="BC122" s="13" t="inlineStr"/>
      <c r="BD122" s="13" t="inlineStr"/>
      <c r="BE122" s="13" t="inlineStr">
        <is>
          <t>high</t>
        </is>
      </c>
      <c r="BF122" s="13" t="n">
        <v>4</v>
      </c>
      <c r="BG122" s="13" t="n">
        <v>4</v>
      </c>
      <c r="BH122" s="13" t="inlineStr">
        <is>
          <t>European flagship, strong multilingual, tool use</t>
        </is>
      </c>
      <c r="BI122" s="13" t="inlineStr"/>
      <c r="BJ122" s="15" t="inlineStr">
        <is>
          <t>M</t>
        </is>
      </c>
      <c r="BK122" s="13" t="inlineStr">
        <is>
          <t>Top-tier Mistral MoE; family-inherited estimate (scaled from flagship); verify before HIGH-stakes routing</t>
        </is>
      </c>
      <c r="BL122" s="13" t="inlineStr">
        <is>
          <t>2026-06-07</t>
        </is>
      </c>
    </row>
    <row r="123">
      <c r="A123" s="13" t="inlineStr">
        <is>
          <t>mistral-large-3-25-12</t>
        </is>
      </c>
      <c r="B123" s="13" t="inlineStr">
        <is>
          <t>Mistral Large 3</t>
        </is>
      </c>
      <c r="C123" s="13" t="inlineStr">
        <is>
          <t>Mistral</t>
        </is>
      </c>
      <c r="D123" s="13" t="inlineStr">
        <is>
          <t>Mistral Large</t>
        </is>
      </c>
      <c r="E123" s="13" t="inlineStr">
        <is>
          <t>3</t>
        </is>
      </c>
      <c r="F123" s="13" t="inlineStr">
        <is>
          <t>Current</t>
        </is>
      </c>
      <c r="G123" s="13" t="inlineStr">
        <is>
          <t>Open/Flagship (MoE)</t>
        </is>
      </c>
      <c r="H123" s="13" t="inlineStr">
        <is>
          <t>Amazon Bedrock (Kiro)</t>
        </is>
      </c>
      <c r="I123" s="13" t="inlineStr">
        <is>
          <t>Aggregator</t>
        </is>
      </c>
      <c r="J123" s="13" t="inlineStr">
        <is>
          <t>Installed; login unverified</t>
        </is>
      </c>
      <c r="K123" s="13" t="inlineStr">
        <is>
          <t>metered (not configured)</t>
        </is>
      </c>
      <c r="L123" s="13" t="inlineStr">
        <is>
          <t>No</t>
        </is>
      </c>
      <c r="M123" s="13" t="n">
        <v>8.199999999999999</v>
      </c>
      <c r="N123" s="13" t="n">
        <v>7.8</v>
      </c>
      <c r="O123" s="13" t="n">
        <v>7.8</v>
      </c>
      <c r="P123" s="13" t="n">
        <v>8</v>
      </c>
      <c r="Q123" s="13">
        <f>IFERROR(ROUND(AVERAGE(M123:P123),1),"")</f>
        <v/>
      </c>
      <c r="R123" s="13" t="n">
        <v>8</v>
      </c>
      <c r="S123" s="13" t="n">
        <v>7.4</v>
      </c>
      <c r="T123" s="13" t="n">
        <v>7.6</v>
      </c>
      <c r="U123" s="13" t="n">
        <v>8</v>
      </c>
      <c r="V123" s="13">
        <f>IFERROR(ROUND(AVERAGE(R123:U123),1),"")</f>
        <v/>
      </c>
      <c r="W123" s="13" t="n">
        <v>8</v>
      </c>
      <c r="X123" s="13" t="n">
        <v>7.6</v>
      </c>
      <c r="Y123" s="13" t="n">
        <v>7.4</v>
      </c>
      <c r="Z123" s="13" t="n">
        <v>8</v>
      </c>
      <c r="AA123" s="13">
        <f>IFERROR(ROUND(AVERAGE(W123:Z123),1),"")</f>
        <v/>
      </c>
      <c r="AB123" s="13" t="n">
        <v>8.199999999999999</v>
      </c>
      <c r="AC123" s="13" t="n">
        <v>8.199999999999999</v>
      </c>
      <c r="AD123" s="13" t="n">
        <v>8</v>
      </c>
      <c r="AE123" s="13" t="n">
        <v>8.6</v>
      </c>
      <c r="AF123" s="13">
        <f>IFERROR(ROUND(AVERAGE(AB123:AE123),1),"")</f>
        <v/>
      </c>
      <c r="AG123" s="13" t="n">
        <v>7.6</v>
      </c>
      <c r="AH123" s="13" t="n">
        <v>7</v>
      </c>
      <c r="AI123" s="13" t="n">
        <v>8</v>
      </c>
      <c r="AJ123" s="13" t="n">
        <v>7.8</v>
      </c>
      <c r="AK123" s="13">
        <f>IFERROR(ROUND(AVERAGE(AG123:AJ123),1),"")</f>
        <v/>
      </c>
      <c r="AL123" s="13" t="inlineStr"/>
      <c r="AM123" s="13" t="inlineStr"/>
      <c r="AN123" s="13" t="inlineStr"/>
      <c r="AO123" s="13">
        <f>IFERROR(ROUND(AVERAGE(AL123:AN123),1),"")</f>
        <v/>
      </c>
      <c r="AP123" s="13" t="n">
        <v>7.5</v>
      </c>
      <c r="AQ123" s="13" t="n">
        <v>7.5</v>
      </c>
      <c r="AR123" s="13" t="n">
        <v>7</v>
      </c>
      <c r="AS123" s="13" t="n">
        <v>7.5</v>
      </c>
      <c r="AT123" s="13">
        <f>IFERROR(ROUND(AVERAGE(AP123:AS123),1),"")</f>
        <v/>
      </c>
      <c r="AU123" s="13" t="n">
        <v>7.8</v>
      </c>
      <c r="AV123" s="13" t="n">
        <v>7.8</v>
      </c>
      <c r="AW123" s="13" t="n">
        <v>7.8</v>
      </c>
      <c r="AX123" s="13" t="n">
        <v>7.6</v>
      </c>
      <c r="AY123" s="13">
        <f>IFERROR(ROUND(AVERAGE(AU123:AX123),1),"")</f>
        <v/>
      </c>
      <c r="AZ123" s="13">
        <f>ROUND(0.19*N(Q123)+0.17*N(V123)+0.17*N(AA123)+0.1*N(AF123)+0.09*N(AK123)+0.12*N(AT123)+0.16*N(AY123),1)</f>
        <v/>
      </c>
      <c r="BA123" s="13" t="inlineStr">
        <is>
          <t>256K</t>
        </is>
      </c>
      <c r="BB123" s="13" t="n"/>
      <c r="BC123" s="13" t="inlineStr"/>
      <c r="BD123" s="13" t="inlineStr"/>
      <c r="BE123" s="13" t="inlineStr">
        <is>
          <t>high</t>
        </is>
      </c>
      <c r="BF123" s="13" t="n">
        <v>4</v>
      </c>
      <c r="BG123" s="13" t="n">
        <v>4</v>
      </c>
      <c r="BH123" s="13" t="inlineStr">
        <is>
          <t>European flagship, strong multilingual, tool use</t>
        </is>
      </c>
      <c r="BI123" s="13" t="inlineStr"/>
      <c r="BJ123" s="15" t="inlineStr">
        <is>
          <t>M</t>
        </is>
      </c>
      <c r="BK123" s="13" t="inlineStr">
        <is>
          <t>Top-tier Mistral MoE; family-inherited estimate (scaled from flagship); verify before HIGH-stakes routing</t>
        </is>
      </c>
      <c r="BL123" s="13" t="inlineStr">
        <is>
          <t>2026-06-07</t>
        </is>
      </c>
    </row>
    <row r="124">
      <c r="A124" s="13" t="inlineStr">
        <is>
          <t>mistral-large-3-25-12</t>
        </is>
      </c>
      <c r="B124" s="13" t="inlineStr">
        <is>
          <t>Mistral Large 3</t>
        </is>
      </c>
      <c r="C124" s="13" t="inlineStr">
        <is>
          <t>Mistral</t>
        </is>
      </c>
      <c r="D124" s="13" t="inlineStr">
        <is>
          <t>Mistral Large</t>
        </is>
      </c>
      <c r="E124" s="13" t="inlineStr">
        <is>
          <t>3</t>
        </is>
      </c>
      <c r="F124" s="13" t="inlineStr">
        <is>
          <t>Current</t>
        </is>
      </c>
      <c r="G124" s="13" t="inlineStr">
        <is>
          <t>Open/Flagship (MoE)</t>
        </is>
      </c>
      <c r="H124" s="13" t="inlineStr">
        <is>
          <t>OpenRouter</t>
        </is>
      </c>
      <c r="I124" s="13" t="inlineStr">
        <is>
          <t>Aggregator</t>
        </is>
      </c>
      <c r="J124" s="13" t="inlineStr">
        <is>
          <t>Not-keyed</t>
        </is>
      </c>
      <c r="K124" s="13" t="inlineStr">
        <is>
          <t>metered (not configured)</t>
        </is>
      </c>
      <c r="L124" s="13" t="inlineStr">
        <is>
          <t>No</t>
        </is>
      </c>
      <c r="M124" s="13" t="n">
        <v>8.199999999999999</v>
      </c>
      <c r="N124" s="13" t="n">
        <v>7.8</v>
      </c>
      <c r="O124" s="13" t="n">
        <v>7.8</v>
      </c>
      <c r="P124" s="13" t="n">
        <v>8</v>
      </c>
      <c r="Q124" s="13">
        <f>IFERROR(ROUND(AVERAGE(M124:P124),1),"")</f>
        <v/>
      </c>
      <c r="R124" s="13" t="n">
        <v>8</v>
      </c>
      <c r="S124" s="13" t="n">
        <v>7.4</v>
      </c>
      <c r="T124" s="13" t="n">
        <v>7.6</v>
      </c>
      <c r="U124" s="13" t="n">
        <v>8</v>
      </c>
      <c r="V124" s="13">
        <f>IFERROR(ROUND(AVERAGE(R124:U124),1),"")</f>
        <v/>
      </c>
      <c r="W124" s="13" t="n">
        <v>8</v>
      </c>
      <c r="X124" s="13" t="n">
        <v>7.6</v>
      </c>
      <c r="Y124" s="13" t="n">
        <v>7.4</v>
      </c>
      <c r="Z124" s="13" t="n">
        <v>8</v>
      </c>
      <c r="AA124" s="13">
        <f>IFERROR(ROUND(AVERAGE(W124:Z124),1),"")</f>
        <v/>
      </c>
      <c r="AB124" s="13" t="n">
        <v>8.199999999999999</v>
      </c>
      <c r="AC124" s="13" t="n">
        <v>8.199999999999999</v>
      </c>
      <c r="AD124" s="13" t="n">
        <v>8</v>
      </c>
      <c r="AE124" s="13" t="n">
        <v>8.6</v>
      </c>
      <c r="AF124" s="13">
        <f>IFERROR(ROUND(AVERAGE(AB124:AE124),1),"")</f>
        <v/>
      </c>
      <c r="AG124" s="13" t="n">
        <v>7.6</v>
      </c>
      <c r="AH124" s="13" t="n">
        <v>7</v>
      </c>
      <c r="AI124" s="13" t="n">
        <v>8</v>
      </c>
      <c r="AJ124" s="13" t="n">
        <v>7.8</v>
      </c>
      <c r="AK124" s="13">
        <f>IFERROR(ROUND(AVERAGE(AG124:AJ124),1),"")</f>
        <v/>
      </c>
      <c r="AL124" s="13" t="inlineStr"/>
      <c r="AM124" s="13" t="inlineStr"/>
      <c r="AN124" s="13" t="inlineStr"/>
      <c r="AO124" s="13">
        <f>IFERROR(ROUND(AVERAGE(AL124:AN124),1),"")</f>
        <v/>
      </c>
      <c r="AP124" s="13" t="n">
        <v>7.5</v>
      </c>
      <c r="AQ124" s="13" t="n">
        <v>7.5</v>
      </c>
      <c r="AR124" s="13" t="n">
        <v>7</v>
      </c>
      <c r="AS124" s="13" t="n">
        <v>7.5</v>
      </c>
      <c r="AT124" s="13">
        <f>IFERROR(ROUND(AVERAGE(AP124:AS124),1),"")</f>
        <v/>
      </c>
      <c r="AU124" s="13" t="n">
        <v>7.8</v>
      </c>
      <c r="AV124" s="13" t="n">
        <v>7.8</v>
      </c>
      <c r="AW124" s="13" t="n">
        <v>7.8</v>
      </c>
      <c r="AX124" s="13" t="n">
        <v>7.6</v>
      </c>
      <c r="AY124" s="13">
        <f>IFERROR(ROUND(AVERAGE(AU124:AX124),1),"")</f>
        <v/>
      </c>
      <c r="AZ124" s="13">
        <f>ROUND(0.19*N(Q124)+0.17*N(V124)+0.17*N(AA124)+0.1*N(AF124)+0.09*N(AK124)+0.12*N(AT124)+0.16*N(AY124),1)</f>
        <v/>
      </c>
      <c r="BA124" s="13" t="inlineStr">
        <is>
          <t>256K</t>
        </is>
      </c>
      <c r="BB124" s="13" t="n"/>
      <c r="BC124" s="13" t="inlineStr"/>
      <c r="BD124" s="13" t="inlineStr"/>
      <c r="BE124" s="13" t="inlineStr">
        <is>
          <t>high</t>
        </is>
      </c>
      <c r="BF124" s="13" t="n">
        <v>4</v>
      </c>
      <c r="BG124" s="13" t="n">
        <v>4</v>
      </c>
      <c r="BH124" s="13" t="inlineStr">
        <is>
          <t>European flagship, strong multilingual, tool use</t>
        </is>
      </c>
      <c r="BI124" s="13" t="inlineStr"/>
      <c r="BJ124" s="15" t="inlineStr">
        <is>
          <t>M</t>
        </is>
      </c>
      <c r="BK124" s="13" t="inlineStr">
        <is>
          <t>Top-tier Mistral MoE; family-inherited estimate (scaled from flagship); verify before HIGH-stakes routing</t>
        </is>
      </c>
      <c r="BL124" s="13" t="inlineStr">
        <is>
          <t>2026-06-07</t>
        </is>
      </c>
    </row>
    <row r="125">
      <c r="A125" s="13" t="inlineStr">
        <is>
          <t>devstral-2-25-12</t>
        </is>
      </c>
      <c r="B125" s="13" t="inlineStr">
        <is>
          <t>Devstral 2</t>
        </is>
      </c>
      <c r="C125" s="13" t="inlineStr">
        <is>
          <t>Mistral</t>
        </is>
      </c>
      <c r="D125" s="13" t="inlineStr">
        <is>
          <t>Devstral</t>
        </is>
      </c>
      <c r="E125" s="13" t="inlineStr">
        <is>
          <t>2</t>
        </is>
      </c>
      <c r="F125" s="13" t="inlineStr">
        <is>
          <t>Current</t>
        </is>
      </c>
      <c r="G125" s="13" t="inlineStr">
        <is>
          <t>Coder Specialist</t>
        </is>
      </c>
      <c r="H125" s="13" t="inlineStr">
        <is>
          <t>Mistral API</t>
        </is>
      </c>
      <c r="I125" s="13" t="inlineStr">
        <is>
          <t>HTTP API</t>
        </is>
      </c>
      <c r="J125" s="13" t="inlineStr">
        <is>
          <t>Not-keyed</t>
        </is>
      </c>
      <c r="K125" s="13" t="inlineStr">
        <is>
          <t>metered (not configured)</t>
        </is>
      </c>
      <c r="L125" s="13" t="inlineStr">
        <is>
          <t>No</t>
        </is>
      </c>
      <c r="M125" s="13" t="n">
        <v>7.6</v>
      </c>
      <c r="N125" s="13" t="n">
        <v>7.2</v>
      </c>
      <c r="O125" s="13" t="n">
        <v>7.2</v>
      </c>
      <c r="P125" s="13" t="n">
        <v>7.6</v>
      </c>
      <c r="Q125" s="13">
        <f>IFERROR(ROUND(AVERAGE(M125:P125),1),"")</f>
        <v/>
      </c>
      <c r="R125" s="13" t="n">
        <v>8.4</v>
      </c>
      <c r="S125" s="13" t="n">
        <v>8</v>
      </c>
      <c r="T125" s="13" t="n">
        <v>8</v>
      </c>
      <c r="U125" s="13" t="n">
        <v>8.4</v>
      </c>
      <c r="V125" s="13">
        <f>IFERROR(ROUND(AVERAGE(R125:U125),1),"")</f>
        <v/>
      </c>
      <c r="W125" s="13" t="n">
        <v>8.199999999999999</v>
      </c>
      <c r="X125" s="13" t="n">
        <v>8</v>
      </c>
      <c r="Y125" s="13" t="n">
        <v>7.6</v>
      </c>
      <c r="Z125" s="13" t="n">
        <v>8.199999999999999</v>
      </c>
      <c r="AA125" s="13">
        <f>IFERROR(ROUND(AVERAGE(W125:Z125),1),"")</f>
        <v/>
      </c>
      <c r="AB125" s="13" t="n">
        <v>7.2</v>
      </c>
      <c r="AC125" s="13" t="n">
        <v>7.4</v>
      </c>
      <c r="AD125" s="13" t="n">
        <v>7.2</v>
      </c>
      <c r="AE125" s="13" t="n">
        <v>7.4</v>
      </c>
      <c r="AF125" s="13">
        <f>IFERROR(ROUND(AVERAGE(AB125:AE125),1),"")</f>
        <v/>
      </c>
      <c r="AG125" s="13" t="n">
        <v>7.4</v>
      </c>
      <c r="AH125" s="13" t="n">
        <v>6.8</v>
      </c>
      <c r="AI125" s="13" t="n">
        <v>7.8</v>
      </c>
      <c r="AJ125" s="13" t="n">
        <v>7.8</v>
      </c>
      <c r="AK125" s="13">
        <f>IFERROR(ROUND(AVERAGE(AG125:AJ125),1),"")</f>
        <v/>
      </c>
      <c r="AL125" s="13" t="inlineStr"/>
      <c r="AM125" s="13" t="inlineStr"/>
      <c r="AN125" s="13" t="inlineStr"/>
      <c r="AO125" s="13">
        <f>IFERROR(ROUND(AVERAGE(AL125:AN125),1),"")</f>
        <v/>
      </c>
      <c r="AP125" s="13" t="n">
        <v>7.8</v>
      </c>
      <c r="AQ125" s="13" t="n">
        <v>7.8</v>
      </c>
      <c r="AR125" s="13" t="n">
        <v>7</v>
      </c>
      <c r="AS125" s="13" t="n">
        <v>8</v>
      </c>
      <c r="AT125" s="13">
        <f>IFERROR(ROUND(AVERAGE(AP125:AS125),1),"")</f>
        <v/>
      </c>
      <c r="AU125" s="13" t="n">
        <v>7.6</v>
      </c>
      <c r="AV125" s="13" t="n">
        <v>7.8</v>
      </c>
      <c r="AW125" s="13" t="n">
        <v>7.6</v>
      </c>
      <c r="AX125" s="13" t="n">
        <v>7.6</v>
      </c>
      <c r="AY125" s="13">
        <f>IFERROR(ROUND(AVERAGE(AU125:AX125),1),"")</f>
        <v/>
      </c>
      <c r="AZ125" s="13">
        <f>ROUND(0.19*N(Q125)+0.17*N(V125)+0.17*N(AA125)+0.1*N(AF125)+0.09*N(AK125)+0.12*N(AT125)+0.16*N(AY125),1)</f>
        <v/>
      </c>
      <c r="BA125" s="13" t="inlineStr">
        <is>
          <t>256K</t>
        </is>
      </c>
      <c r="BB125" s="13" t="n"/>
      <c r="BC125" s="13" t="inlineStr"/>
      <c r="BD125" s="13" t="inlineStr"/>
      <c r="BE125" s="13" t="inlineStr">
        <is>
          <t>high</t>
        </is>
      </c>
      <c r="BF125" s="13" t="n">
        <v>4</v>
      </c>
      <c r="BG125" s="13" t="n">
        <v>4</v>
      </c>
      <c r="BH125" s="13" t="inlineStr">
        <is>
          <t>Open coding/agentic SWE model</t>
        </is>
      </c>
      <c r="BI125" s="13" t="inlineStr">
        <is>
          <t>Non-coding creative</t>
        </is>
      </c>
      <c r="BJ125" s="15" t="inlineStr">
        <is>
          <t>M</t>
        </is>
      </c>
      <c r="BK125" s="13" t="inlineStr">
        <is>
          <t>Mistral software-dev model; family-inherited estimate (scaled from flagship); verify before HIGH-stakes routing</t>
        </is>
      </c>
      <c r="BL125" s="13" t="inlineStr">
        <is>
          <t>2026-06-07</t>
        </is>
      </c>
    </row>
    <row r="126">
      <c r="A126" s="13" t="inlineStr">
        <is>
          <t>devstral-2-25-12</t>
        </is>
      </c>
      <c r="B126" s="13" t="inlineStr">
        <is>
          <t>Devstral 2</t>
        </is>
      </c>
      <c r="C126" s="13" t="inlineStr">
        <is>
          <t>Mistral</t>
        </is>
      </c>
      <c r="D126" s="13" t="inlineStr">
        <is>
          <t>Devstral</t>
        </is>
      </c>
      <c r="E126" s="13" t="inlineStr">
        <is>
          <t>2</t>
        </is>
      </c>
      <c r="F126" s="13" t="inlineStr">
        <is>
          <t>Current</t>
        </is>
      </c>
      <c r="G126" s="13" t="inlineStr">
        <is>
          <t>Coder Specialist</t>
        </is>
      </c>
      <c r="H126" s="13" t="inlineStr">
        <is>
          <t>OpenRouter</t>
        </is>
      </c>
      <c r="I126" s="13" t="inlineStr">
        <is>
          <t>Aggregator</t>
        </is>
      </c>
      <c r="J126" s="13" t="inlineStr">
        <is>
          <t>Not-keyed</t>
        </is>
      </c>
      <c r="K126" s="13" t="inlineStr">
        <is>
          <t>metered (not configured)</t>
        </is>
      </c>
      <c r="L126" s="13" t="inlineStr">
        <is>
          <t>No</t>
        </is>
      </c>
      <c r="M126" s="13" t="n">
        <v>7.6</v>
      </c>
      <c r="N126" s="13" t="n">
        <v>7.2</v>
      </c>
      <c r="O126" s="13" t="n">
        <v>7.2</v>
      </c>
      <c r="P126" s="13" t="n">
        <v>7.6</v>
      </c>
      <c r="Q126" s="13">
        <f>IFERROR(ROUND(AVERAGE(M126:P126),1),"")</f>
        <v/>
      </c>
      <c r="R126" s="13" t="n">
        <v>8.4</v>
      </c>
      <c r="S126" s="13" t="n">
        <v>8</v>
      </c>
      <c r="T126" s="13" t="n">
        <v>8</v>
      </c>
      <c r="U126" s="13" t="n">
        <v>8.4</v>
      </c>
      <c r="V126" s="13">
        <f>IFERROR(ROUND(AVERAGE(R126:U126),1),"")</f>
        <v/>
      </c>
      <c r="W126" s="13" t="n">
        <v>8.199999999999999</v>
      </c>
      <c r="X126" s="13" t="n">
        <v>8</v>
      </c>
      <c r="Y126" s="13" t="n">
        <v>7.6</v>
      </c>
      <c r="Z126" s="13" t="n">
        <v>8.199999999999999</v>
      </c>
      <c r="AA126" s="13">
        <f>IFERROR(ROUND(AVERAGE(W126:Z126),1),"")</f>
        <v/>
      </c>
      <c r="AB126" s="13" t="n">
        <v>7.2</v>
      </c>
      <c r="AC126" s="13" t="n">
        <v>7.4</v>
      </c>
      <c r="AD126" s="13" t="n">
        <v>7.2</v>
      </c>
      <c r="AE126" s="13" t="n">
        <v>7.4</v>
      </c>
      <c r="AF126" s="13">
        <f>IFERROR(ROUND(AVERAGE(AB126:AE126),1),"")</f>
        <v/>
      </c>
      <c r="AG126" s="13" t="n">
        <v>7.4</v>
      </c>
      <c r="AH126" s="13" t="n">
        <v>6.8</v>
      </c>
      <c r="AI126" s="13" t="n">
        <v>7.8</v>
      </c>
      <c r="AJ126" s="13" t="n">
        <v>7.8</v>
      </c>
      <c r="AK126" s="13">
        <f>IFERROR(ROUND(AVERAGE(AG126:AJ126),1),"")</f>
        <v/>
      </c>
      <c r="AL126" s="13" t="inlineStr"/>
      <c r="AM126" s="13" t="inlineStr"/>
      <c r="AN126" s="13" t="inlineStr"/>
      <c r="AO126" s="13">
        <f>IFERROR(ROUND(AVERAGE(AL126:AN126),1),"")</f>
        <v/>
      </c>
      <c r="AP126" s="13" t="n">
        <v>7.8</v>
      </c>
      <c r="AQ126" s="13" t="n">
        <v>7.8</v>
      </c>
      <c r="AR126" s="13" t="n">
        <v>7</v>
      </c>
      <c r="AS126" s="13" t="n">
        <v>8</v>
      </c>
      <c r="AT126" s="13">
        <f>IFERROR(ROUND(AVERAGE(AP126:AS126),1),"")</f>
        <v/>
      </c>
      <c r="AU126" s="13" t="n">
        <v>7.6</v>
      </c>
      <c r="AV126" s="13" t="n">
        <v>7.8</v>
      </c>
      <c r="AW126" s="13" t="n">
        <v>7.6</v>
      </c>
      <c r="AX126" s="13" t="n">
        <v>7.6</v>
      </c>
      <c r="AY126" s="13">
        <f>IFERROR(ROUND(AVERAGE(AU126:AX126),1),"")</f>
        <v/>
      </c>
      <c r="AZ126" s="13">
        <f>ROUND(0.19*N(Q126)+0.17*N(V126)+0.17*N(AA126)+0.1*N(AF126)+0.09*N(AK126)+0.12*N(AT126)+0.16*N(AY126),1)</f>
        <v/>
      </c>
      <c r="BA126" s="13" t="inlineStr">
        <is>
          <t>256K</t>
        </is>
      </c>
      <c r="BB126" s="13" t="n"/>
      <c r="BC126" s="13" t="inlineStr"/>
      <c r="BD126" s="13" t="inlineStr"/>
      <c r="BE126" s="13" t="inlineStr">
        <is>
          <t>high</t>
        </is>
      </c>
      <c r="BF126" s="13" t="n">
        <v>4</v>
      </c>
      <c r="BG126" s="13" t="n">
        <v>4</v>
      </c>
      <c r="BH126" s="13" t="inlineStr">
        <is>
          <t>Open coding/agentic SWE model</t>
        </is>
      </c>
      <c r="BI126" s="13" t="inlineStr">
        <is>
          <t>Non-coding creative</t>
        </is>
      </c>
      <c r="BJ126" s="15" t="inlineStr">
        <is>
          <t>M</t>
        </is>
      </c>
      <c r="BK126" s="13" t="inlineStr">
        <is>
          <t>Mistral software-dev model; family-inherited estimate (scaled from flagship); verify before HIGH-stakes routing</t>
        </is>
      </c>
      <c r="BL126" s="13" t="inlineStr">
        <is>
          <t>2026-06-07</t>
        </is>
      </c>
    </row>
    <row r="127">
      <c r="A127" s="13" t="inlineStr">
        <is>
          <t>mistral-medium-3-5-26-04</t>
        </is>
      </c>
      <c r="B127" s="13" t="inlineStr">
        <is>
          <t>Mistral Medium 3.5</t>
        </is>
      </c>
      <c r="C127" s="13" t="inlineStr">
        <is>
          <t>Mistral</t>
        </is>
      </c>
      <c r="D127" s="13" t="inlineStr">
        <is>
          <t>Mistral Medium</t>
        </is>
      </c>
      <c r="E127" s="13" t="inlineStr">
        <is>
          <t>3.5</t>
        </is>
      </c>
      <c r="F127" s="13" t="inlineStr">
        <is>
          <t>Current</t>
        </is>
      </c>
      <c r="G127" s="13" t="inlineStr">
        <is>
          <t>Workhorse</t>
        </is>
      </c>
      <c r="H127" s="13" t="inlineStr">
        <is>
          <t>Mistral API</t>
        </is>
      </c>
      <c r="I127" s="13" t="inlineStr">
        <is>
          <t>HTTP API</t>
        </is>
      </c>
      <c r="J127" s="13" t="inlineStr">
        <is>
          <t>Not-keyed</t>
        </is>
      </c>
      <c r="K127" s="13" t="inlineStr">
        <is>
          <t>metered (not configured)</t>
        </is>
      </c>
      <c r="L127" s="13" t="inlineStr">
        <is>
          <t>No</t>
        </is>
      </c>
      <c r="M127" s="13" t="n">
        <v>7.8</v>
      </c>
      <c r="N127" s="13" t="n">
        <v>7.4</v>
      </c>
      <c r="O127" s="13" t="n">
        <v>7.4</v>
      </c>
      <c r="P127" s="13" t="n">
        <v>7.6</v>
      </c>
      <c r="Q127" s="13">
        <f>IFERROR(ROUND(AVERAGE(M127:P127),1),"")</f>
        <v/>
      </c>
      <c r="R127" s="13" t="n">
        <v>7.6</v>
      </c>
      <c r="S127" s="13" t="n">
        <v>7</v>
      </c>
      <c r="T127" s="13" t="n">
        <v>7.2</v>
      </c>
      <c r="U127" s="13" t="n">
        <v>7.6</v>
      </c>
      <c r="V127" s="13">
        <f>IFERROR(ROUND(AVERAGE(R127:U127),1),"")</f>
        <v/>
      </c>
      <c r="W127" s="13" t="n">
        <v>7.6</v>
      </c>
      <c r="X127" s="13" t="n">
        <v>7.2</v>
      </c>
      <c r="Y127" s="13" t="n">
        <v>7</v>
      </c>
      <c r="Z127" s="13" t="n">
        <v>7.6</v>
      </c>
      <c r="AA127" s="13">
        <f>IFERROR(ROUND(AVERAGE(W127:Z127),1),"")</f>
        <v/>
      </c>
      <c r="AB127" s="13" t="n">
        <v>7.8</v>
      </c>
      <c r="AC127" s="13" t="n">
        <v>7.8</v>
      </c>
      <c r="AD127" s="13" t="n">
        <v>7.6</v>
      </c>
      <c r="AE127" s="13" t="n">
        <v>8.199999999999999</v>
      </c>
      <c r="AF127" s="13">
        <f>IFERROR(ROUND(AVERAGE(AB127:AE127),1),"")</f>
        <v/>
      </c>
      <c r="AG127" s="13" t="n">
        <v>7.2</v>
      </c>
      <c r="AH127" s="13" t="n">
        <v>6.6</v>
      </c>
      <c r="AI127" s="13" t="n">
        <v>7.6</v>
      </c>
      <c r="AJ127" s="13" t="n">
        <v>7.4</v>
      </c>
      <c r="AK127" s="13">
        <f>IFERROR(ROUND(AVERAGE(AG127:AJ127),1),"")</f>
        <v/>
      </c>
      <c r="AL127" s="13" t="inlineStr"/>
      <c r="AM127" s="13" t="inlineStr"/>
      <c r="AN127" s="13" t="inlineStr"/>
      <c r="AO127" s="13">
        <f>IFERROR(ROUND(AVERAGE(AL127:AN127),1),"")</f>
        <v/>
      </c>
      <c r="AP127" s="13" t="n">
        <v>8</v>
      </c>
      <c r="AQ127" s="13" t="n">
        <v>8</v>
      </c>
      <c r="AR127" s="13" t="n">
        <v>7</v>
      </c>
      <c r="AS127" s="13" t="n">
        <v>8.199999999999999</v>
      </c>
      <c r="AT127" s="13">
        <f>IFERROR(ROUND(AVERAGE(AP127:AS127),1),"")</f>
        <v/>
      </c>
      <c r="AU127" s="13" t="n">
        <v>7.4</v>
      </c>
      <c r="AV127" s="13" t="n">
        <v>7.6</v>
      </c>
      <c r="AW127" s="13" t="n">
        <v>7.6</v>
      </c>
      <c r="AX127" s="13" t="n">
        <v>7.4</v>
      </c>
      <c r="AY127" s="13">
        <f>IFERROR(ROUND(AVERAGE(AU127:AX127),1),"")</f>
        <v/>
      </c>
      <c r="AZ127" s="13">
        <f>ROUND(0.19*N(Q127)+0.17*N(V127)+0.17*N(AA127)+0.1*N(AF127)+0.09*N(AK127)+0.12*N(AT127)+0.16*N(AY127),1)</f>
        <v/>
      </c>
      <c r="BA127" s="13" t="inlineStr">
        <is>
          <t>128K</t>
        </is>
      </c>
      <c r="BB127" s="13" t="n"/>
      <c r="BC127" s="13" t="inlineStr"/>
      <c r="BD127" s="13" t="inlineStr"/>
      <c r="BE127" s="13" t="inlineStr">
        <is>
          <t>high</t>
        </is>
      </c>
      <c r="BF127" s="13" t="n">
        <v>4</v>
      </c>
      <c r="BG127" s="13" t="n">
        <v>4</v>
      </c>
      <c r="BH127" s="13" t="inlineStr">
        <is>
          <t>Balanced mid-tier, multilingual</t>
        </is>
      </c>
      <c r="BI127" s="13" t="inlineStr"/>
      <c r="BJ127" s="15" t="inlineStr">
        <is>
          <t>M</t>
        </is>
      </c>
      <c r="BK127" s="13" t="inlineStr">
        <is>
          <t>Latest medium; family-inherited estimate (scaled from flagship); verify before HIGH-stakes routing</t>
        </is>
      </c>
      <c r="BL127" s="13" t="inlineStr">
        <is>
          <t>2026-06-07</t>
        </is>
      </c>
    </row>
    <row r="128">
      <c r="A128" s="13" t="inlineStr">
        <is>
          <t>mistral-medium-3-5-26-04</t>
        </is>
      </c>
      <c r="B128" s="13" t="inlineStr">
        <is>
          <t>Mistral Medium 3.5</t>
        </is>
      </c>
      <c r="C128" s="13" t="inlineStr">
        <is>
          <t>Mistral</t>
        </is>
      </c>
      <c r="D128" s="13" t="inlineStr">
        <is>
          <t>Mistral Medium</t>
        </is>
      </c>
      <c r="E128" s="13" t="inlineStr">
        <is>
          <t>3.5</t>
        </is>
      </c>
      <c r="F128" s="13" t="inlineStr">
        <is>
          <t>Current</t>
        </is>
      </c>
      <c r="G128" s="13" t="inlineStr">
        <is>
          <t>Workhorse</t>
        </is>
      </c>
      <c r="H128" s="13" t="inlineStr">
        <is>
          <t>OpenRouter</t>
        </is>
      </c>
      <c r="I128" s="13" t="inlineStr">
        <is>
          <t>Aggregator</t>
        </is>
      </c>
      <c r="J128" s="13" t="inlineStr">
        <is>
          <t>Not-keyed</t>
        </is>
      </c>
      <c r="K128" s="13" t="inlineStr">
        <is>
          <t>metered (not configured)</t>
        </is>
      </c>
      <c r="L128" s="13" t="inlineStr">
        <is>
          <t>No</t>
        </is>
      </c>
      <c r="M128" s="13" t="n">
        <v>7.8</v>
      </c>
      <c r="N128" s="13" t="n">
        <v>7.4</v>
      </c>
      <c r="O128" s="13" t="n">
        <v>7.4</v>
      </c>
      <c r="P128" s="13" t="n">
        <v>7.6</v>
      </c>
      <c r="Q128" s="13">
        <f>IFERROR(ROUND(AVERAGE(M128:P128),1),"")</f>
        <v/>
      </c>
      <c r="R128" s="13" t="n">
        <v>7.6</v>
      </c>
      <c r="S128" s="13" t="n">
        <v>7</v>
      </c>
      <c r="T128" s="13" t="n">
        <v>7.2</v>
      </c>
      <c r="U128" s="13" t="n">
        <v>7.6</v>
      </c>
      <c r="V128" s="13">
        <f>IFERROR(ROUND(AVERAGE(R128:U128),1),"")</f>
        <v/>
      </c>
      <c r="W128" s="13" t="n">
        <v>7.6</v>
      </c>
      <c r="X128" s="13" t="n">
        <v>7.2</v>
      </c>
      <c r="Y128" s="13" t="n">
        <v>7</v>
      </c>
      <c r="Z128" s="13" t="n">
        <v>7.6</v>
      </c>
      <c r="AA128" s="13">
        <f>IFERROR(ROUND(AVERAGE(W128:Z128),1),"")</f>
        <v/>
      </c>
      <c r="AB128" s="13" t="n">
        <v>7.8</v>
      </c>
      <c r="AC128" s="13" t="n">
        <v>7.8</v>
      </c>
      <c r="AD128" s="13" t="n">
        <v>7.6</v>
      </c>
      <c r="AE128" s="13" t="n">
        <v>8.199999999999999</v>
      </c>
      <c r="AF128" s="13">
        <f>IFERROR(ROUND(AVERAGE(AB128:AE128),1),"")</f>
        <v/>
      </c>
      <c r="AG128" s="13" t="n">
        <v>7.2</v>
      </c>
      <c r="AH128" s="13" t="n">
        <v>6.6</v>
      </c>
      <c r="AI128" s="13" t="n">
        <v>7.6</v>
      </c>
      <c r="AJ128" s="13" t="n">
        <v>7.4</v>
      </c>
      <c r="AK128" s="13">
        <f>IFERROR(ROUND(AVERAGE(AG128:AJ128),1),"")</f>
        <v/>
      </c>
      <c r="AL128" s="13" t="inlineStr"/>
      <c r="AM128" s="13" t="inlineStr"/>
      <c r="AN128" s="13" t="inlineStr"/>
      <c r="AO128" s="13">
        <f>IFERROR(ROUND(AVERAGE(AL128:AN128),1),"")</f>
        <v/>
      </c>
      <c r="AP128" s="13" t="n">
        <v>8</v>
      </c>
      <c r="AQ128" s="13" t="n">
        <v>8</v>
      </c>
      <c r="AR128" s="13" t="n">
        <v>7</v>
      </c>
      <c r="AS128" s="13" t="n">
        <v>8.199999999999999</v>
      </c>
      <c r="AT128" s="13">
        <f>IFERROR(ROUND(AVERAGE(AP128:AS128),1),"")</f>
        <v/>
      </c>
      <c r="AU128" s="13" t="n">
        <v>7.4</v>
      </c>
      <c r="AV128" s="13" t="n">
        <v>7.6</v>
      </c>
      <c r="AW128" s="13" t="n">
        <v>7.6</v>
      </c>
      <c r="AX128" s="13" t="n">
        <v>7.4</v>
      </c>
      <c r="AY128" s="13">
        <f>IFERROR(ROUND(AVERAGE(AU128:AX128),1),"")</f>
        <v/>
      </c>
      <c r="AZ128" s="13">
        <f>ROUND(0.19*N(Q128)+0.17*N(V128)+0.17*N(AA128)+0.1*N(AF128)+0.09*N(AK128)+0.12*N(AT128)+0.16*N(AY128),1)</f>
        <v/>
      </c>
      <c r="BA128" s="13" t="inlineStr">
        <is>
          <t>128K</t>
        </is>
      </c>
      <c r="BB128" s="13" t="n"/>
      <c r="BC128" s="13" t="inlineStr"/>
      <c r="BD128" s="13" t="inlineStr"/>
      <c r="BE128" s="13" t="inlineStr">
        <is>
          <t>high</t>
        </is>
      </c>
      <c r="BF128" s="13" t="n">
        <v>4</v>
      </c>
      <c r="BG128" s="13" t="n">
        <v>4</v>
      </c>
      <c r="BH128" s="13" t="inlineStr">
        <is>
          <t>Balanced mid-tier, multilingual</t>
        </is>
      </c>
      <c r="BI128" s="13" t="inlineStr"/>
      <c r="BJ128" s="15" t="inlineStr">
        <is>
          <t>M</t>
        </is>
      </c>
      <c r="BK128" s="13" t="inlineStr">
        <is>
          <t>Latest medium; family-inherited estimate (scaled from flagship); verify before HIGH-stakes routing</t>
        </is>
      </c>
      <c r="BL128" s="13" t="inlineStr">
        <is>
          <t>2026-06-07</t>
        </is>
      </c>
    </row>
    <row r="129">
      <c r="A129" s="13" t="inlineStr">
        <is>
          <t>mistral-small-4-0-26-03</t>
        </is>
      </c>
      <c r="B129" s="13" t="inlineStr">
        <is>
          <t>Mistral Small 4</t>
        </is>
      </c>
      <c r="C129" s="13" t="inlineStr">
        <is>
          <t>Mistral</t>
        </is>
      </c>
      <c r="D129" s="13" t="inlineStr">
        <is>
          <t>Mistral Small</t>
        </is>
      </c>
      <c r="E129" s="13" t="inlineStr">
        <is>
          <t>4</t>
        </is>
      </c>
      <c r="F129" s="13" t="inlineStr">
        <is>
          <t>Current</t>
        </is>
      </c>
      <c r="G129" s="13" t="inlineStr">
        <is>
          <t>Fast-Cheap</t>
        </is>
      </c>
      <c r="H129" s="13" t="inlineStr">
        <is>
          <t>Mistral API</t>
        </is>
      </c>
      <c r="I129" s="13" t="inlineStr">
        <is>
          <t>HTTP API</t>
        </is>
      </c>
      <c r="J129" s="13" t="inlineStr">
        <is>
          <t>Not-keyed</t>
        </is>
      </c>
      <c r="K129" s="13" t="inlineStr">
        <is>
          <t>metered (not configured)</t>
        </is>
      </c>
      <c r="L129" s="13" t="inlineStr">
        <is>
          <t>No</t>
        </is>
      </c>
      <c r="M129" s="13" t="n">
        <v>7</v>
      </c>
      <c r="N129" s="13" t="n">
        <v>6.6</v>
      </c>
      <c r="O129" s="13" t="n">
        <v>6.6</v>
      </c>
      <c r="P129" s="13" t="n">
        <v>7</v>
      </c>
      <c r="Q129" s="13">
        <f>IFERROR(ROUND(AVERAGE(M129:P129),1),"")</f>
        <v/>
      </c>
      <c r="R129" s="13" t="n">
        <v>7</v>
      </c>
      <c r="S129" s="13" t="n">
        <v>6.4</v>
      </c>
      <c r="T129" s="13" t="n">
        <v>6.6</v>
      </c>
      <c r="U129" s="13" t="n">
        <v>7</v>
      </c>
      <c r="V129" s="13">
        <f>IFERROR(ROUND(AVERAGE(R129:U129),1),"")</f>
        <v/>
      </c>
      <c r="W129" s="13" t="n">
        <v>7</v>
      </c>
      <c r="X129" s="13" t="n">
        <v>6.6</v>
      </c>
      <c r="Y129" s="13" t="n">
        <v>6.2</v>
      </c>
      <c r="Z129" s="13" t="n">
        <v>7</v>
      </c>
      <c r="AA129" s="13">
        <f>IFERROR(ROUND(AVERAGE(W129:Z129),1),"")</f>
        <v/>
      </c>
      <c r="AB129" s="13" t="n">
        <v>7.4</v>
      </c>
      <c r="AC129" s="13" t="n">
        <v>7.4</v>
      </c>
      <c r="AD129" s="13" t="n">
        <v>7.2</v>
      </c>
      <c r="AE129" s="13" t="n">
        <v>7.8</v>
      </c>
      <c r="AF129" s="13">
        <f>IFERROR(ROUND(AVERAGE(AB129:AE129),1),"")</f>
        <v/>
      </c>
      <c r="AG129" s="13" t="n">
        <v>6.6</v>
      </c>
      <c r="AH129" s="13" t="n">
        <v>6</v>
      </c>
      <c r="AI129" s="13" t="n">
        <v>7</v>
      </c>
      <c r="AJ129" s="13" t="n">
        <v>6.8</v>
      </c>
      <c r="AK129" s="13">
        <f>IFERROR(ROUND(AVERAGE(AG129:AJ129),1),"")</f>
        <v/>
      </c>
      <c r="AL129" s="13" t="inlineStr"/>
      <c r="AM129" s="13" t="inlineStr"/>
      <c r="AN129" s="13" t="inlineStr"/>
      <c r="AO129" s="13">
        <f>IFERROR(ROUND(AVERAGE(AL129:AN129),1),"")</f>
        <v/>
      </c>
      <c r="AP129" s="13" t="n">
        <v>8.6</v>
      </c>
      <c r="AQ129" s="13" t="n">
        <v>8.6</v>
      </c>
      <c r="AR129" s="13" t="n">
        <v>6</v>
      </c>
      <c r="AS129" s="13" t="n">
        <v>9</v>
      </c>
      <c r="AT129" s="13">
        <f>IFERROR(ROUND(AVERAGE(AP129:AS129),1),"")</f>
        <v/>
      </c>
      <c r="AU129" s="13" t="n">
        <v>7</v>
      </c>
      <c r="AV129" s="13" t="n">
        <v>7.2</v>
      </c>
      <c r="AW129" s="13" t="n">
        <v>7.2</v>
      </c>
      <c r="AX129" s="13" t="n">
        <v>7</v>
      </c>
      <c r="AY129" s="13">
        <f>IFERROR(ROUND(AVERAGE(AU129:AX129),1),"")</f>
        <v/>
      </c>
      <c r="AZ129" s="13">
        <f>ROUND(0.19*N(Q129)+0.17*N(V129)+0.17*N(AA129)+0.1*N(AF129)+0.09*N(AK129)+0.12*N(AT129)+0.16*N(AY129),1)</f>
        <v/>
      </c>
      <c r="BA129" s="13" t="inlineStr">
        <is>
          <t>128K</t>
        </is>
      </c>
      <c r="BB129" s="13" t="n"/>
      <c r="BC129" s="13" t="inlineStr"/>
      <c r="BD129" s="13" t="inlineStr"/>
      <c r="BE129" s="13" t="inlineStr">
        <is>
          <t>high</t>
        </is>
      </c>
      <c r="BF129" s="13" t="n">
        <v>3</v>
      </c>
      <c r="BG129" s="13" t="n">
        <v>3</v>
      </c>
      <c r="BH129" s="13" t="inlineStr">
        <is>
          <t>Latest small; cheap multilingual</t>
        </is>
      </c>
      <c r="BI129" s="13" t="inlineStr"/>
      <c r="BJ129" s="15" t="inlineStr">
        <is>
          <t>M</t>
        </is>
      </c>
      <c r="BK129" s="13" t="inlineStr">
        <is>
          <t>Latest small; family-inherited estimate (scaled from flagship); verify before HIGH-stakes routing</t>
        </is>
      </c>
      <c r="BL129" s="13" t="inlineStr">
        <is>
          <t>2026-06-07</t>
        </is>
      </c>
    </row>
    <row r="130">
      <c r="A130" s="13" t="inlineStr">
        <is>
          <t>mistral-small-4-0-26-03</t>
        </is>
      </c>
      <c r="B130" s="13" t="inlineStr">
        <is>
          <t>Mistral Small 4</t>
        </is>
      </c>
      <c r="C130" s="13" t="inlineStr">
        <is>
          <t>Mistral</t>
        </is>
      </c>
      <c r="D130" s="13" t="inlineStr">
        <is>
          <t>Mistral Small</t>
        </is>
      </c>
      <c r="E130" s="13" t="inlineStr">
        <is>
          <t>4</t>
        </is>
      </c>
      <c r="F130" s="13" t="inlineStr">
        <is>
          <t>Current</t>
        </is>
      </c>
      <c r="G130" s="13" t="inlineStr">
        <is>
          <t>Fast-Cheap</t>
        </is>
      </c>
      <c r="H130" s="13" t="inlineStr">
        <is>
          <t>OpenRouter</t>
        </is>
      </c>
      <c r="I130" s="13" t="inlineStr">
        <is>
          <t>Aggregator</t>
        </is>
      </c>
      <c r="J130" s="13" t="inlineStr">
        <is>
          <t>Not-keyed</t>
        </is>
      </c>
      <c r="K130" s="13" t="inlineStr">
        <is>
          <t>metered (not configured)</t>
        </is>
      </c>
      <c r="L130" s="13" t="inlineStr">
        <is>
          <t>No</t>
        </is>
      </c>
      <c r="M130" s="13" t="n">
        <v>7</v>
      </c>
      <c r="N130" s="13" t="n">
        <v>6.6</v>
      </c>
      <c r="O130" s="13" t="n">
        <v>6.6</v>
      </c>
      <c r="P130" s="13" t="n">
        <v>7</v>
      </c>
      <c r="Q130" s="13">
        <f>IFERROR(ROUND(AVERAGE(M130:P130),1),"")</f>
        <v/>
      </c>
      <c r="R130" s="13" t="n">
        <v>7</v>
      </c>
      <c r="S130" s="13" t="n">
        <v>6.4</v>
      </c>
      <c r="T130" s="13" t="n">
        <v>6.6</v>
      </c>
      <c r="U130" s="13" t="n">
        <v>7</v>
      </c>
      <c r="V130" s="13">
        <f>IFERROR(ROUND(AVERAGE(R130:U130),1),"")</f>
        <v/>
      </c>
      <c r="W130" s="13" t="n">
        <v>7</v>
      </c>
      <c r="X130" s="13" t="n">
        <v>6.6</v>
      </c>
      <c r="Y130" s="13" t="n">
        <v>6.2</v>
      </c>
      <c r="Z130" s="13" t="n">
        <v>7</v>
      </c>
      <c r="AA130" s="13">
        <f>IFERROR(ROUND(AVERAGE(W130:Z130),1),"")</f>
        <v/>
      </c>
      <c r="AB130" s="13" t="n">
        <v>7.4</v>
      </c>
      <c r="AC130" s="13" t="n">
        <v>7.4</v>
      </c>
      <c r="AD130" s="13" t="n">
        <v>7.2</v>
      </c>
      <c r="AE130" s="13" t="n">
        <v>7.8</v>
      </c>
      <c r="AF130" s="13">
        <f>IFERROR(ROUND(AVERAGE(AB130:AE130),1),"")</f>
        <v/>
      </c>
      <c r="AG130" s="13" t="n">
        <v>6.6</v>
      </c>
      <c r="AH130" s="13" t="n">
        <v>6</v>
      </c>
      <c r="AI130" s="13" t="n">
        <v>7</v>
      </c>
      <c r="AJ130" s="13" t="n">
        <v>6.8</v>
      </c>
      <c r="AK130" s="13">
        <f>IFERROR(ROUND(AVERAGE(AG130:AJ130),1),"")</f>
        <v/>
      </c>
      <c r="AL130" s="13" t="inlineStr"/>
      <c r="AM130" s="13" t="inlineStr"/>
      <c r="AN130" s="13" t="inlineStr"/>
      <c r="AO130" s="13">
        <f>IFERROR(ROUND(AVERAGE(AL130:AN130),1),"")</f>
        <v/>
      </c>
      <c r="AP130" s="13" t="n">
        <v>8.6</v>
      </c>
      <c r="AQ130" s="13" t="n">
        <v>8.6</v>
      </c>
      <c r="AR130" s="13" t="n">
        <v>6</v>
      </c>
      <c r="AS130" s="13" t="n">
        <v>9</v>
      </c>
      <c r="AT130" s="13">
        <f>IFERROR(ROUND(AVERAGE(AP130:AS130),1),"")</f>
        <v/>
      </c>
      <c r="AU130" s="13" t="n">
        <v>7</v>
      </c>
      <c r="AV130" s="13" t="n">
        <v>7.2</v>
      </c>
      <c r="AW130" s="13" t="n">
        <v>7.2</v>
      </c>
      <c r="AX130" s="13" t="n">
        <v>7</v>
      </c>
      <c r="AY130" s="13">
        <f>IFERROR(ROUND(AVERAGE(AU130:AX130),1),"")</f>
        <v/>
      </c>
      <c r="AZ130" s="13">
        <f>ROUND(0.19*N(Q130)+0.17*N(V130)+0.17*N(AA130)+0.1*N(AF130)+0.09*N(AK130)+0.12*N(AT130)+0.16*N(AY130),1)</f>
        <v/>
      </c>
      <c r="BA130" s="13" t="inlineStr">
        <is>
          <t>128K</t>
        </is>
      </c>
      <c r="BB130" s="13" t="n"/>
      <c r="BC130" s="13" t="inlineStr"/>
      <c r="BD130" s="13" t="inlineStr"/>
      <c r="BE130" s="13" t="inlineStr">
        <is>
          <t>high</t>
        </is>
      </c>
      <c r="BF130" s="13" t="n">
        <v>3</v>
      </c>
      <c r="BG130" s="13" t="n">
        <v>3</v>
      </c>
      <c r="BH130" s="13" t="inlineStr">
        <is>
          <t>Latest small; cheap multilingual</t>
        </is>
      </c>
      <c r="BI130" s="13" t="inlineStr"/>
      <c r="BJ130" s="15" t="inlineStr">
        <is>
          <t>M</t>
        </is>
      </c>
      <c r="BK130" s="13" t="inlineStr">
        <is>
          <t>Latest small; family-inherited estimate (scaled from flagship); verify before HIGH-stakes routing</t>
        </is>
      </c>
      <c r="BL130" s="13" t="inlineStr">
        <is>
          <t>2026-06-07</t>
        </is>
      </c>
    </row>
    <row r="131">
      <c r="A131" s="13" t="inlineStr">
        <is>
          <t>magistral-medium-1-2-25-09</t>
        </is>
      </c>
      <c r="B131" s="13" t="inlineStr">
        <is>
          <t>Magistral Medium 1.2</t>
        </is>
      </c>
      <c r="C131" s="13" t="inlineStr">
        <is>
          <t>Mistral</t>
        </is>
      </c>
      <c r="D131" s="13" t="inlineStr">
        <is>
          <t>Magistral</t>
        </is>
      </c>
      <c r="E131" s="13" t="inlineStr">
        <is>
          <t>1.2</t>
        </is>
      </c>
      <c r="F131" s="13" t="inlineStr">
        <is>
          <t>Current</t>
        </is>
      </c>
      <c r="G131" s="13" t="inlineStr">
        <is>
          <t>Reasoning</t>
        </is>
      </c>
      <c r="H131" s="13" t="inlineStr">
        <is>
          <t>Mistral API</t>
        </is>
      </c>
      <c r="I131" s="13" t="inlineStr">
        <is>
          <t>HTTP API</t>
        </is>
      </c>
      <c r="J131" s="13" t="inlineStr">
        <is>
          <t>Not-keyed</t>
        </is>
      </c>
      <c r="K131" s="13" t="inlineStr">
        <is>
          <t>metered (not configured)</t>
        </is>
      </c>
      <c r="L131" s="13" t="inlineStr">
        <is>
          <t>No</t>
        </is>
      </c>
      <c r="M131" s="13" t="n">
        <v>8</v>
      </c>
      <c r="N131" s="13" t="n">
        <v>8</v>
      </c>
      <c r="O131" s="13" t="n">
        <v>7.4</v>
      </c>
      <c r="P131" s="13" t="n">
        <v>7.6</v>
      </c>
      <c r="Q131" s="13">
        <f>IFERROR(ROUND(AVERAGE(M131:P131),1),"")</f>
        <v/>
      </c>
      <c r="R131" s="13" t="n">
        <v>7.4</v>
      </c>
      <c r="S131" s="13" t="n">
        <v>6.8</v>
      </c>
      <c r="T131" s="13" t="n">
        <v>6.8</v>
      </c>
      <c r="U131" s="13" t="n">
        <v>7.4</v>
      </c>
      <c r="V131" s="13">
        <f>IFERROR(ROUND(AVERAGE(R131:U131),1),"")</f>
        <v/>
      </c>
      <c r="W131" s="13" t="n">
        <v>7.2</v>
      </c>
      <c r="X131" s="13" t="n">
        <v>7.2</v>
      </c>
      <c r="Y131" s="13" t="n">
        <v>6.6</v>
      </c>
      <c r="Z131" s="13" t="n">
        <v>7.4</v>
      </c>
      <c r="AA131" s="13">
        <f>IFERROR(ROUND(AVERAGE(W131:Z131),1),"")</f>
        <v/>
      </c>
      <c r="AB131" s="13" t="n">
        <v>7.2</v>
      </c>
      <c r="AC131" s="13" t="n">
        <v>7.2</v>
      </c>
      <c r="AD131" s="13" t="n">
        <v>7</v>
      </c>
      <c r="AE131" s="13" t="n">
        <v>7.6</v>
      </c>
      <c r="AF131" s="13">
        <f>IFERROR(ROUND(AVERAGE(AB131:AE131),1),"")</f>
        <v/>
      </c>
      <c r="AG131" s="13" t="n">
        <v>7.4</v>
      </c>
      <c r="AH131" s="13" t="n">
        <v>6.8</v>
      </c>
      <c r="AI131" s="13" t="n">
        <v>7.4</v>
      </c>
      <c r="AJ131" s="13" t="n">
        <v>8</v>
      </c>
      <c r="AK131" s="13">
        <f>IFERROR(ROUND(AVERAGE(AG131:AJ131),1),"")</f>
        <v/>
      </c>
      <c r="AL131" s="13" t="inlineStr"/>
      <c r="AM131" s="13" t="inlineStr"/>
      <c r="AN131" s="13" t="inlineStr"/>
      <c r="AO131" s="13">
        <f>IFERROR(ROUND(AVERAGE(AL131:AN131),1),"")</f>
        <v/>
      </c>
      <c r="AP131" s="13" t="n">
        <v>7</v>
      </c>
      <c r="AQ131" s="13" t="n">
        <v>7</v>
      </c>
      <c r="AR131" s="13" t="n">
        <v>6</v>
      </c>
      <c r="AS131" s="13" t="n">
        <v>7.5</v>
      </c>
      <c r="AT131" s="13">
        <f>IFERROR(ROUND(AVERAGE(AP131:AS131),1),"")</f>
        <v/>
      </c>
      <c r="AU131" s="13" t="n">
        <v>7.4</v>
      </c>
      <c r="AV131" s="13" t="n">
        <v>7.6</v>
      </c>
      <c r="AW131" s="13" t="n">
        <v>7.4</v>
      </c>
      <c r="AX131" s="13" t="n">
        <v>7.4</v>
      </c>
      <c r="AY131" s="13">
        <f>IFERROR(ROUND(AVERAGE(AU131:AX131),1),"")</f>
        <v/>
      </c>
      <c r="AZ131" s="13">
        <f>ROUND(0.19*N(Q131)+0.17*N(V131)+0.17*N(AA131)+0.1*N(AF131)+0.09*N(AK131)+0.12*N(AT131)+0.16*N(AY131),1)</f>
        <v/>
      </c>
      <c r="BA131" s="13" t="inlineStr">
        <is>
          <t>128K</t>
        </is>
      </c>
      <c r="BB131" s="13" t="n"/>
      <c r="BC131" s="13" t="inlineStr"/>
      <c r="BD131" s="13" t="inlineStr"/>
      <c r="BE131" s="13" t="inlineStr">
        <is>
          <t>high</t>
        </is>
      </c>
      <c r="BF131" s="13" t="n">
        <v>4</v>
      </c>
      <c r="BG131" s="13" t="n">
        <v>3</v>
      </c>
      <c r="BH131" s="13" t="inlineStr">
        <is>
          <t>Mistral reasoning model</t>
        </is>
      </c>
      <c r="BI131" s="13" t="inlineStr"/>
      <c r="BJ131" s="15" t="inlineStr">
        <is>
          <t>M</t>
        </is>
      </c>
      <c r="BK131" s="13" t="inlineStr">
        <is>
          <t>Reasoning variant; family-inherited estimate (scaled from flagship); verify before HIGH-stakes routing</t>
        </is>
      </c>
      <c r="BL131" s="13" t="inlineStr">
        <is>
          <t>2026-06-07</t>
        </is>
      </c>
    </row>
    <row r="132">
      <c r="A132" s="13" t="inlineStr">
        <is>
          <t>magistral-medium-1-2-25-09</t>
        </is>
      </c>
      <c r="B132" s="13" t="inlineStr">
        <is>
          <t>Magistral Medium 1.2</t>
        </is>
      </c>
      <c r="C132" s="13" t="inlineStr">
        <is>
          <t>Mistral</t>
        </is>
      </c>
      <c r="D132" s="13" t="inlineStr">
        <is>
          <t>Magistral</t>
        </is>
      </c>
      <c r="E132" s="13" t="inlineStr">
        <is>
          <t>1.2</t>
        </is>
      </c>
      <c r="F132" s="13" t="inlineStr">
        <is>
          <t>Current</t>
        </is>
      </c>
      <c r="G132" s="13" t="inlineStr">
        <is>
          <t>Reasoning</t>
        </is>
      </c>
      <c r="H132" s="13" t="inlineStr">
        <is>
          <t>OpenRouter</t>
        </is>
      </c>
      <c r="I132" s="13" t="inlineStr">
        <is>
          <t>Aggregator</t>
        </is>
      </c>
      <c r="J132" s="13" t="inlineStr">
        <is>
          <t>Not-keyed</t>
        </is>
      </c>
      <c r="K132" s="13" t="inlineStr">
        <is>
          <t>metered (not configured)</t>
        </is>
      </c>
      <c r="L132" s="13" t="inlineStr">
        <is>
          <t>No</t>
        </is>
      </c>
      <c r="M132" s="13" t="n">
        <v>8</v>
      </c>
      <c r="N132" s="13" t="n">
        <v>8</v>
      </c>
      <c r="O132" s="13" t="n">
        <v>7.4</v>
      </c>
      <c r="P132" s="13" t="n">
        <v>7.6</v>
      </c>
      <c r="Q132" s="13">
        <f>IFERROR(ROUND(AVERAGE(M132:P132),1),"")</f>
        <v/>
      </c>
      <c r="R132" s="13" t="n">
        <v>7.4</v>
      </c>
      <c r="S132" s="13" t="n">
        <v>6.8</v>
      </c>
      <c r="T132" s="13" t="n">
        <v>6.8</v>
      </c>
      <c r="U132" s="13" t="n">
        <v>7.4</v>
      </c>
      <c r="V132" s="13">
        <f>IFERROR(ROUND(AVERAGE(R132:U132),1),"")</f>
        <v/>
      </c>
      <c r="W132" s="13" t="n">
        <v>7.2</v>
      </c>
      <c r="X132" s="13" t="n">
        <v>7.2</v>
      </c>
      <c r="Y132" s="13" t="n">
        <v>6.6</v>
      </c>
      <c r="Z132" s="13" t="n">
        <v>7.4</v>
      </c>
      <c r="AA132" s="13">
        <f>IFERROR(ROUND(AVERAGE(W132:Z132),1),"")</f>
        <v/>
      </c>
      <c r="AB132" s="13" t="n">
        <v>7.2</v>
      </c>
      <c r="AC132" s="13" t="n">
        <v>7.2</v>
      </c>
      <c r="AD132" s="13" t="n">
        <v>7</v>
      </c>
      <c r="AE132" s="13" t="n">
        <v>7.6</v>
      </c>
      <c r="AF132" s="13">
        <f>IFERROR(ROUND(AVERAGE(AB132:AE132),1),"")</f>
        <v/>
      </c>
      <c r="AG132" s="13" t="n">
        <v>7.4</v>
      </c>
      <c r="AH132" s="13" t="n">
        <v>6.8</v>
      </c>
      <c r="AI132" s="13" t="n">
        <v>7.4</v>
      </c>
      <c r="AJ132" s="13" t="n">
        <v>8</v>
      </c>
      <c r="AK132" s="13">
        <f>IFERROR(ROUND(AVERAGE(AG132:AJ132),1),"")</f>
        <v/>
      </c>
      <c r="AL132" s="13" t="inlineStr"/>
      <c r="AM132" s="13" t="inlineStr"/>
      <c r="AN132" s="13" t="inlineStr"/>
      <c r="AO132" s="13">
        <f>IFERROR(ROUND(AVERAGE(AL132:AN132),1),"")</f>
        <v/>
      </c>
      <c r="AP132" s="13" t="n">
        <v>7</v>
      </c>
      <c r="AQ132" s="13" t="n">
        <v>7</v>
      </c>
      <c r="AR132" s="13" t="n">
        <v>6</v>
      </c>
      <c r="AS132" s="13" t="n">
        <v>7.5</v>
      </c>
      <c r="AT132" s="13">
        <f>IFERROR(ROUND(AVERAGE(AP132:AS132),1),"")</f>
        <v/>
      </c>
      <c r="AU132" s="13" t="n">
        <v>7.4</v>
      </c>
      <c r="AV132" s="13" t="n">
        <v>7.6</v>
      </c>
      <c r="AW132" s="13" t="n">
        <v>7.4</v>
      </c>
      <c r="AX132" s="13" t="n">
        <v>7.4</v>
      </c>
      <c r="AY132" s="13">
        <f>IFERROR(ROUND(AVERAGE(AU132:AX132),1),"")</f>
        <v/>
      </c>
      <c r="AZ132" s="13">
        <f>ROUND(0.19*N(Q132)+0.17*N(V132)+0.17*N(AA132)+0.1*N(AF132)+0.09*N(AK132)+0.12*N(AT132)+0.16*N(AY132),1)</f>
        <v/>
      </c>
      <c r="BA132" s="13" t="inlineStr">
        <is>
          <t>128K</t>
        </is>
      </c>
      <c r="BB132" s="13" t="n"/>
      <c r="BC132" s="13" t="inlineStr"/>
      <c r="BD132" s="13" t="inlineStr"/>
      <c r="BE132" s="13" t="inlineStr">
        <is>
          <t>high</t>
        </is>
      </c>
      <c r="BF132" s="13" t="n">
        <v>4</v>
      </c>
      <c r="BG132" s="13" t="n">
        <v>3</v>
      </c>
      <c r="BH132" s="13" t="inlineStr">
        <is>
          <t>Mistral reasoning model</t>
        </is>
      </c>
      <c r="BI132" s="13" t="inlineStr"/>
      <c r="BJ132" s="15" t="inlineStr">
        <is>
          <t>M</t>
        </is>
      </c>
      <c r="BK132" s="13" t="inlineStr">
        <is>
          <t>Reasoning variant; family-inherited estimate (scaled from flagship); verify before HIGH-stakes routing</t>
        </is>
      </c>
      <c r="BL132" s="13" t="inlineStr">
        <is>
          <t>2026-06-07</t>
        </is>
      </c>
    </row>
    <row r="133">
      <c r="A133" s="13" t="inlineStr">
        <is>
          <t>codestral-25-08</t>
        </is>
      </c>
      <c r="B133" s="13" t="inlineStr">
        <is>
          <t>Codestral</t>
        </is>
      </c>
      <c r="C133" s="13" t="inlineStr">
        <is>
          <t>Mistral</t>
        </is>
      </c>
      <c r="D133" s="13" t="inlineStr">
        <is>
          <t>Codestral</t>
        </is>
      </c>
      <c r="E133" s="13" t="inlineStr">
        <is>
          <t>25-08</t>
        </is>
      </c>
      <c r="F133" s="13" t="inlineStr">
        <is>
          <t>Current</t>
        </is>
      </c>
      <c r="G133" s="13" t="inlineStr">
        <is>
          <t>Coder Specialist</t>
        </is>
      </c>
      <c r="H133" s="13" t="inlineStr">
        <is>
          <t>Mistral API</t>
        </is>
      </c>
      <c r="I133" s="13" t="inlineStr">
        <is>
          <t>HTTP API</t>
        </is>
      </c>
      <c r="J133" s="13" t="inlineStr">
        <is>
          <t>Not-keyed</t>
        </is>
      </c>
      <c r="K133" s="13" t="inlineStr">
        <is>
          <t>metered (not configured)</t>
        </is>
      </c>
      <c r="L133" s="13" t="inlineStr">
        <is>
          <t>No</t>
        </is>
      </c>
      <c r="M133" s="13" t="n">
        <v>6.6</v>
      </c>
      <c r="N133" s="13" t="n">
        <v>6.2</v>
      </c>
      <c r="O133" s="13" t="n">
        <v>6.2</v>
      </c>
      <c r="P133" s="13" t="n">
        <v>6.6</v>
      </c>
      <c r="Q133" s="13">
        <f>IFERROR(ROUND(AVERAGE(M133:P133),1),"")</f>
        <v/>
      </c>
      <c r="R133" s="13" t="n">
        <v>8</v>
      </c>
      <c r="S133" s="13" t="n">
        <v>7.2</v>
      </c>
      <c r="T133" s="13" t="n">
        <v>7.4</v>
      </c>
      <c r="U133" s="13" t="n">
        <v>7.8</v>
      </c>
      <c r="V133" s="13">
        <f>IFERROR(ROUND(AVERAGE(R133:U133),1),"")</f>
        <v/>
      </c>
      <c r="W133" s="13" t="n">
        <v>7.2</v>
      </c>
      <c r="X133" s="13" t="n">
        <v>6.8</v>
      </c>
      <c r="Y133" s="13" t="n">
        <v>6</v>
      </c>
      <c r="Z133" s="13" t="n">
        <v>7.2</v>
      </c>
      <c r="AA133" s="13">
        <f>IFERROR(ROUND(AVERAGE(W133:Z133),1),"")</f>
        <v/>
      </c>
      <c r="AB133" s="13" t="n">
        <v>6.4</v>
      </c>
      <c r="AC133" s="13" t="n">
        <v>6.6</v>
      </c>
      <c r="AD133" s="13" t="n">
        <v>6.4</v>
      </c>
      <c r="AE133" s="13" t="n">
        <v>6.6</v>
      </c>
      <c r="AF133" s="13">
        <f>IFERROR(ROUND(AVERAGE(AB133:AE133),1),"")</f>
        <v/>
      </c>
      <c r="AG133" s="13" t="n">
        <v>6.6</v>
      </c>
      <c r="AH133" s="13" t="n">
        <v>6</v>
      </c>
      <c r="AI133" s="13" t="n">
        <v>7</v>
      </c>
      <c r="AJ133" s="13" t="n">
        <v>7</v>
      </c>
      <c r="AK133" s="13">
        <f>IFERROR(ROUND(AVERAGE(AG133:AJ133),1),"")</f>
        <v/>
      </c>
      <c r="AL133" s="13" t="inlineStr"/>
      <c r="AM133" s="13" t="inlineStr"/>
      <c r="AN133" s="13" t="inlineStr"/>
      <c r="AO133" s="13">
        <f>IFERROR(ROUND(AVERAGE(AL133:AN133),1),"")</f>
        <v/>
      </c>
      <c r="AP133" s="13" t="n">
        <v>8.6</v>
      </c>
      <c r="AQ133" s="13" t="n">
        <v>8.6</v>
      </c>
      <c r="AR133" s="13" t="n">
        <v>7</v>
      </c>
      <c r="AS133" s="13" t="n">
        <v>8.5</v>
      </c>
      <c r="AT133" s="13">
        <f>IFERROR(ROUND(AVERAGE(AP133:AS133),1),"")</f>
        <v/>
      </c>
      <c r="AU133" s="13" t="n">
        <v>7</v>
      </c>
      <c r="AV133" s="13" t="n">
        <v>7.2</v>
      </c>
      <c r="AW133" s="13" t="n">
        <v>7.2</v>
      </c>
      <c r="AX133" s="13" t="n">
        <v>7</v>
      </c>
      <c r="AY133" s="13">
        <f>IFERROR(ROUND(AVERAGE(AU133:AX133),1),"")</f>
        <v/>
      </c>
      <c r="AZ133" s="13">
        <f>ROUND(0.19*N(Q133)+0.17*N(V133)+0.17*N(AA133)+0.1*N(AF133)+0.09*N(AK133)+0.12*N(AT133)+0.16*N(AY133),1)</f>
        <v/>
      </c>
      <c r="BA133" s="13" t="inlineStr">
        <is>
          <t>256K</t>
        </is>
      </c>
      <c r="BB133" s="13" t="n"/>
      <c r="BC133" s="13" t="inlineStr"/>
      <c r="BD133" s="13" t="inlineStr"/>
      <c r="BE133" s="13" t="inlineStr">
        <is>
          <t>high</t>
        </is>
      </c>
      <c r="BF133" s="13" t="n">
        <v>4</v>
      </c>
      <c r="BG133" s="13" t="n">
        <v>4</v>
      </c>
      <c r="BH133" s="13" t="inlineStr">
        <is>
          <t>Fast code completion/generation</t>
        </is>
      </c>
      <c r="BI133" s="13" t="inlineStr">
        <is>
          <t>Non-coding</t>
        </is>
      </c>
      <c r="BJ133" s="15" t="inlineStr">
        <is>
          <t>M</t>
        </is>
      </c>
      <c r="BK133" s="13" t="inlineStr">
        <is>
          <t>Mistral code model; family-inherited estimate (scaled from flagship); verify before HIGH-stakes routing</t>
        </is>
      </c>
      <c r="BL133" s="13" t="inlineStr">
        <is>
          <t>2026-06-07</t>
        </is>
      </c>
    </row>
    <row r="134">
      <c r="A134" s="13" t="inlineStr">
        <is>
          <t>codestral-25-08</t>
        </is>
      </c>
      <c r="B134" s="13" t="inlineStr">
        <is>
          <t>Codestral</t>
        </is>
      </c>
      <c r="C134" s="13" t="inlineStr">
        <is>
          <t>Mistral</t>
        </is>
      </c>
      <c r="D134" s="13" t="inlineStr">
        <is>
          <t>Codestral</t>
        </is>
      </c>
      <c r="E134" s="13" t="inlineStr">
        <is>
          <t>25-08</t>
        </is>
      </c>
      <c r="F134" s="13" t="inlineStr">
        <is>
          <t>Current</t>
        </is>
      </c>
      <c r="G134" s="13" t="inlineStr">
        <is>
          <t>Coder Specialist</t>
        </is>
      </c>
      <c r="H134" s="13" t="inlineStr">
        <is>
          <t>OpenRouter</t>
        </is>
      </c>
      <c r="I134" s="13" t="inlineStr">
        <is>
          <t>Aggregator</t>
        </is>
      </c>
      <c r="J134" s="13" t="inlineStr">
        <is>
          <t>Not-keyed</t>
        </is>
      </c>
      <c r="K134" s="13" t="inlineStr">
        <is>
          <t>metered (not configured)</t>
        </is>
      </c>
      <c r="L134" s="13" t="inlineStr">
        <is>
          <t>No</t>
        </is>
      </c>
      <c r="M134" s="13" t="n">
        <v>6.6</v>
      </c>
      <c r="N134" s="13" t="n">
        <v>6.2</v>
      </c>
      <c r="O134" s="13" t="n">
        <v>6.2</v>
      </c>
      <c r="P134" s="13" t="n">
        <v>6.6</v>
      </c>
      <c r="Q134" s="13">
        <f>IFERROR(ROUND(AVERAGE(M134:P134),1),"")</f>
        <v/>
      </c>
      <c r="R134" s="13" t="n">
        <v>8</v>
      </c>
      <c r="S134" s="13" t="n">
        <v>7.2</v>
      </c>
      <c r="T134" s="13" t="n">
        <v>7.4</v>
      </c>
      <c r="U134" s="13" t="n">
        <v>7.8</v>
      </c>
      <c r="V134" s="13">
        <f>IFERROR(ROUND(AVERAGE(R134:U134),1),"")</f>
        <v/>
      </c>
      <c r="W134" s="13" t="n">
        <v>7.2</v>
      </c>
      <c r="X134" s="13" t="n">
        <v>6.8</v>
      </c>
      <c r="Y134" s="13" t="n">
        <v>6</v>
      </c>
      <c r="Z134" s="13" t="n">
        <v>7.2</v>
      </c>
      <c r="AA134" s="13">
        <f>IFERROR(ROUND(AVERAGE(W134:Z134),1),"")</f>
        <v/>
      </c>
      <c r="AB134" s="13" t="n">
        <v>6.4</v>
      </c>
      <c r="AC134" s="13" t="n">
        <v>6.6</v>
      </c>
      <c r="AD134" s="13" t="n">
        <v>6.4</v>
      </c>
      <c r="AE134" s="13" t="n">
        <v>6.6</v>
      </c>
      <c r="AF134" s="13">
        <f>IFERROR(ROUND(AVERAGE(AB134:AE134),1),"")</f>
        <v/>
      </c>
      <c r="AG134" s="13" t="n">
        <v>6.6</v>
      </c>
      <c r="AH134" s="13" t="n">
        <v>6</v>
      </c>
      <c r="AI134" s="13" t="n">
        <v>7</v>
      </c>
      <c r="AJ134" s="13" t="n">
        <v>7</v>
      </c>
      <c r="AK134" s="13">
        <f>IFERROR(ROUND(AVERAGE(AG134:AJ134),1),"")</f>
        <v/>
      </c>
      <c r="AL134" s="13" t="inlineStr"/>
      <c r="AM134" s="13" t="inlineStr"/>
      <c r="AN134" s="13" t="inlineStr"/>
      <c r="AO134" s="13">
        <f>IFERROR(ROUND(AVERAGE(AL134:AN134),1),"")</f>
        <v/>
      </c>
      <c r="AP134" s="13" t="n">
        <v>8.6</v>
      </c>
      <c r="AQ134" s="13" t="n">
        <v>8.6</v>
      </c>
      <c r="AR134" s="13" t="n">
        <v>7</v>
      </c>
      <c r="AS134" s="13" t="n">
        <v>8.5</v>
      </c>
      <c r="AT134" s="13">
        <f>IFERROR(ROUND(AVERAGE(AP134:AS134),1),"")</f>
        <v/>
      </c>
      <c r="AU134" s="13" t="n">
        <v>7</v>
      </c>
      <c r="AV134" s="13" t="n">
        <v>7.2</v>
      </c>
      <c r="AW134" s="13" t="n">
        <v>7.2</v>
      </c>
      <c r="AX134" s="13" t="n">
        <v>7</v>
      </c>
      <c r="AY134" s="13">
        <f>IFERROR(ROUND(AVERAGE(AU134:AX134),1),"")</f>
        <v/>
      </c>
      <c r="AZ134" s="13">
        <f>ROUND(0.19*N(Q134)+0.17*N(V134)+0.17*N(AA134)+0.1*N(AF134)+0.09*N(AK134)+0.12*N(AT134)+0.16*N(AY134),1)</f>
        <v/>
      </c>
      <c r="BA134" s="13" t="inlineStr">
        <is>
          <t>256K</t>
        </is>
      </c>
      <c r="BB134" s="13" t="n"/>
      <c r="BC134" s="13" t="inlineStr"/>
      <c r="BD134" s="13" t="inlineStr"/>
      <c r="BE134" s="13" t="inlineStr">
        <is>
          <t>high</t>
        </is>
      </c>
      <c r="BF134" s="13" t="n">
        <v>4</v>
      </c>
      <c r="BG134" s="13" t="n">
        <v>4</v>
      </c>
      <c r="BH134" s="13" t="inlineStr">
        <is>
          <t>Fast code completion/generation</t>
        </is>
      </c>
      <c r="BI134" s="13" t="inlineStr">
        <is>
          <t>Non-coding</t>
        </is>
      </c>
      <c r="BJ134" s="15" t="inlineStr">
        <is>
          <t>M</t>
        </is>
      </c>
      <c r="BK134" s="13" t="inlineStr">
        <is>
          <t>Mistral code model; family-inherited estimate (scaled from flagship); verify before HIGH-stakes routing</t>
        </is>
      </c>
      <c r="BL134" s="13" t="inlineStr">
        <is>
          <t>2026-06-07</t>
        </is>
      </c>
    </row>
    <row r="135">
      <c r="A135" s="13" t="inlineStr">
        <is>
          <t>ministral-3-8b-25-12</t>
        </is>
      </c>
      <c r="B135" s="13" t="inlineStr">
        <is>
          <t>Ministral 3 (8B)</t>
        </is>
      </c>
      <c r="C135" s="13" t="inlineStr">
        <is>
          <t>Mistral</t>
        </is>
      </c>
      <c r="D135" s="13" t="inlineStr">
        <is>
          <t>Ministral 3</t>
        </is>
      </c>
      <c r="E135" s="13" t="inlineStr">
        <is>
          <t>8b</t>
        </is>
      </c>
      <c r="F135" s="13" t="inlineStr">
        <is>
          <t>Current</t>
        </is>
      </c>
      <c r="G135" s="13" t="inlineStr">
        <is>
          <t>Edge / Local</t>
        </is>
      </c>
      <c r="H135" s="13" t="inlineStr">
        <is>
          <t>Ollama (local)</t>
        </is>
      </c>
      <c r="I135" s="13" t="inlineStr">
        <is>
          <t>Local</t>
        </is>
      </c>
      <c r="J135" s="13" t="inlineStr">
        <is>
          <t>Running (free)</t>
        </is>
      </c>
      <c r="K135" s="13" t="inlineStr">
        <is>
          <t>local_free</t>
        </is>
      </c>
      <c r="L135" s="13" t="inlineStr">
        <is>
          <t>Yes</t>
        </is>
      </c>
      <c r="M135" s="13" t="n">
        <v>6.4</v>
      </c>
      <c r="N135" s="13" t="n">
        <v>5.8</v>
      </c>
      <c r="O135" s="13" t="n">
        <v>5.6</v>
      </c>
      <c r="P135" s="13" t="n">
        <v>6.2</v>
      </c>
      <c r="Q135" s="13">
        <f>IFERROR(ROUND(AVERAGE(M135:P135),1),"")</f>
        <v/>
      </c>
      <c r="R135" s="13" t="n">
        <v>6.2</v>
      </c>
      <c r="S135" s="13" t="n">
        <v>5.4</v>
      </c>
      <c r="T135" s="13" t="n">
        <v>5.6</v>
      </c>
      <c r="U135" s="13" t="n">
        <v>6</v>
      </c>
      <c r="V135" s="13">
        <f>IFERROR(ROUND(AVERAGE(R135:U135),1),"")</f>
        <v/>
      </c>
      <c r="W135" s="13" t="n">
        <v>6.2</v>
      </c>
      <c r="X135" s="13" t="n">
        <v>5.8</v>
      </c>
      <c r="Y135" s="13" t="n">
        <v>5</v>
      </c>
      <c r="Z135" s="13" t="n">
        <v>6.2</v>
      </c>
      <c r="AA135" s="13">
        <f>IFERROR(ROUND(AVERAGE(W135:Z135),1),"")</f>
        <v/>
      </c>
      <c r="AB135" s="13" t="n">
        <v>6.6</v>
      </c>
      <c r="AC135" s="13" t="n">
        <v>6.6</v>
      </c>
      <c r="AD135" s="13" t="n">
        <v>6.4</v>
      </c>
      <c r="AE135" s="13" t="n">
        <v>6.8</v>
      </c>
      <c r="AF135" s="13">
        <f>IFERROR(ROUND(AVERAGE(AB135:AE135),1),"")</f>
        <v/>
      </c>
      <c r="AG135" s="13" t="n">
        <v>5.8</v>
      </c>
      <c r="AH135" s="13" t="n">
        <v>5.2</v>
      </c>
      <c r="AI135" s="13" t="n">
        <v>6.2</v>
      </c>
      <c r="AJ135" s="13" t="n">
        <v>6</v>
      </c>
      <c r="AK135" s="13">
        <f>IFERROR(ROUND(AVERAGE(AG135:AJ135),1),"")</f>
        <v/>
      </c>
      <c r="AL135" s="13" t="inlineStr"/>
      <c r="AM135" s="13" t="inlineStr"/>
      <c r="AN135" s="13" t="inlineStr"/>
      <c r="AO135" s="13">
        <f>IFERROR(ROUND(AVERAGE(AL135:AN135),1),"")</f>
        <v/>
      </c>
      <c r="AP135" s="13" t="n">
        <v>8.5</v>
      </c>
      <c r="AQ135" s="13" t="n">
        <v>8</v>
      </c>
      <c r="AR135" s="13" t="n">
        <v>5</v>
      </c>
      <c r="AS135" s="13" t="n">
        <v>9.5</v>
      </c>
      <c r="AT135" s="13">
        <f>IFERROR(ROUND(AVERAGE(AP135:AS135),1),"")</f>
        <v/>
      </c>
      <c r="AU135" s="13" t="n">
        <v>6.4</v>
      </c>
      <c r="AV135" s="13" t="n">
        <v>6.6</v>
      </c>
      <c r="AW135" s="13" t="n">
        <v>6.6</v>
      </c>
      <c r="AX135" s="13" t="n">
        <v>6.4</v>
      </c>
      <c r="AY135" s="13">
        <f>IFERROR(ROUND(AVERAGE(AU135:AX135),1),"")</f>
        <v/>
      </c>
      <c r="AZ135" s="13">
        <f>ROUND(0.19*N(Q135)+0.17*N(V135)+0.17*N(AA135)+0.1*N(AF135)+0.09*N(AK135)+0.12*N(AT135)+0.16*N(AY135),1)</f>
        <v/>
      </c>
      <c r="BA135" s="13" t="inlineStr">
        <is>
          <t>128K</t>
        </is>
      </c>
      <c r="BB135" s="13" t="n"/>
      <c r="BC135" s="13" t="inlineStr"/>
      <c r="BD135" s="13" t="inlineStr"/>
      <c r="BE135" s="13" t="inlineStr">
        <is>
          <t>medium</t>
        </is>
      </c>
      <c r="BF135" s="13" t="n">
        <v>3</v>
      </c>
      <c r="BG135" s="13" t="n">
        <v>3</v>
      </c>
      <c r="BH135" s="13" t="inlineStr">
        <is>
          <t>Edge-optimized local chat (runs on Dell)</t>
        </is>
      </c>
      <c r="BI135" s="13" t="inlineStr">
        <is>
          <t>Depth tasks</t>
        </is>
      </c>
      <c r="BJ135" s="16" t="inlineStr">
        <is>
          <t>L</t>
        </is>
      </c>
      <c r="BK135" s="13" t="inlineStr">
        <is>
          <t>Edge 8B; local on Dell (ministral-3:8b); family-inherited estimate (scaled from flagship); verify before HIGH-stakes routing</t>
        </is>
      </c>
      <c r="BL135" s="13" t="inlineStr">
        <is>
          <t>2026-06-07</t>
        </is>
      </c>
    </row>
    <row r="136">
      <c r="A136" s="13" t="inlineStr">
        <is>
          <t>ministral-3-8b-25-12</t>
        </is>
      </c>
      <c r="B136" s="13" t="inlineStr">
        <is>
          <t>Ministral 3 (8B)</t>
        </is>
      </c>
      <c r="C136" s="13" t="inlineStr">
        <is>
          <t>Mistral</t>
        </is>
      </c>
      <c r="D136" s="13" t="inlineStr">
        <is>
          <t>Ministral 3</t>
        </is>
      </c>
      <c r="E136" s="13" t="inlineStr">
        <is>
          <t>8b</t>
        </is>
      </c>
      <c r="F136" s="13" t="inlineStr">
        <is>
          <t>Current</t>
        </is>
      </c>
      <c r="G136" s="13" t="inlineStr">
        <is>
          <t>Edge / Local</t>
        </is>
      </c>
      <c r="H136" s="13" t="inlineStr">
        <is>
          <t>Mistral API</t>
        </is>
      </c>
      <c r="I136" s="13" t="inlineStr">
        <is>
          <t>HTTP API</t>
        </is>
      </c>
      <c r="J136" s="13" t="inlineStr">
        <is>
          <t>Not-keyed</t>
        </is>
      </c>
      <c r="K136" s="13" t="inlineStr">
        <is>
          <t>metered (not configured)</t>
        </is>
      </c>
      <c r="L136" s="13" t="inlineStr">
        <is>
          <t>No</t>
        </is>
      </c>
      <c r="M136" s="13" t="n">
        <v>6.4</v>
      </c>
      <c r="N136" s="13" t="n">
        <v>5.8</v>
      </c>
      <c r="O136" s="13" t="n">
        <v>5.6</v>
      </c>
      <c r="P136" s="13" t="n">
        <v>6.2</v>
      </c>
      <c r="Q136" s="13">
        <f>IFERROR(ROUND(AVERAGE(M136:P136),1),"")</f>
        <v/>
      </c>
      <c r="R136" s="13" t="n">
        <v>6.2</v>
      </c>
      <c r="S136" s="13" t="n">
        <v>5.4</v>
      </c>
      <c r="T136" s="13" t="n">
        <v>5.6</v>
      </c>
      <c r="U136" s="13" t="n">
        <v>6</v>
      </c>
      <c r="V136" s="13">
        <f>IFERROR(ROUND(AVERAGE(R136:U136),1),"")</f>
        <v/>
      </c>
      <c r="W136" s="13" t="n">
        <v>6.2</v>
      </c>
      <c r="X136" s="13" t="n">
        <v>5.8</v>
      </c>
      <c r="Y136" s="13" t="n">
        <v>5</v>
      </c>
      <c r="Z136" s="13" t="n">
        <v>6.2</v>
      </c>
      <c r="AA136" s="13">
        <f>IFERROR(ROUND(AVERAGE(W136:Z136),1),"")</f>
        <v/>
      </c>
      <c r="AB136" s="13" t="n">
        <v>6.6</v>
      </c>
      <c r="AC136" s="13" t="n">
        <v>6.6</v>
      </c>
      <c r="AD136" s="13" t="n">
        <v>6.4</v>
      </c>
      <c r="AE136" s="13" t="n">
        <v>6.8</v>
      </c>
      <c r="AF136" s="13">
        <f>IFERROR(ROUND(AVERAGE(AB136:AE136),1),"")</f>
        <v/>
      </c>
      <c r="AG136" s="13" t="n">
        <v>5.8</v>
      </c>
      <c r="AH136" s="13" t="n">
        <v>5.2</v>
      </c>
      <c r="AI136" s="13" t="n">
        <v>6.2</v>
      </c>
      <c r="AJ136" s="13" t="n">
        <v>6</v>
      </c>
      <c r="AK136" s="13">
        <f>IFERROR(ROUND(AVERAGE(AG136:AJ136),1),"")</f>
        <v/>
      </c>
      <c r="AL136" s="13" t="inlineStr"/>
      <c r="AM136" s="13" t="inlineStr"/>
      <c r="AN136" s="13" t="inlineStr"/>
      <c r="AO136" s="13">
        <f>IFERROR(ROUND(AVERAGE(AL136:AN136),1),"")</f>
        <v/>
      </c>
      <c r="AP136" s="13" t="n">
        <v>8.5</v>
      </c>
      <c r="AQ136" s="13" t="n">
        <v>8</v>
      </c>
      <c r="AR136" s="13" t="n">
        <v>5</v>
      </c>
      <c r="AS136" s="13" t="n">
        <v>9.5</v>
      </c>
      <c r="AT136" s="13">
        <f>IFERROR(ROUND(AVERAGE(AP136:AS136),1),"")</f>
        <v/>
      </c>
      <c r="AU136" s="13" t="n">
        <v>6.4</v>
      </c>
      <c r="AV136" s="13" t="n">
        <v>6.6</v>
      </c>
      <c r="AW136" s="13" t="n">
        <v>6.6</v>
      </c>
      <c r="AX136" s="13" t="n">
        <v>6.4</v>
      </c>
      <c r="AY136" s="13">
        <f>IFERROR(ROUND(AVERAGE(AU136:AX136),1),"")</f>
        <v/>
      </c>
      <c r="AZ136" s="13">
        <f>ROUND(0.19*N(Q136)+0.17*N(V136)+0.17*N(AA136)+0.1*N(AF136)+0.09*N(AK136)+0.12*N(AT136)+0.16*N(AY136),1)</f>
        <v/>
      </c>
      <c r="BA136" s="13" t="inlineStr">
        <is>
          <t>128K</t>
        </is>
      </c>
      <c r="BB136" s="13" t="n"/>
      <c r="BC136" s="13" t="inlineStr"/>
      <c r="BD136" s="13" t="inlineStr"/>
      <c r="BE136" s="13" t="inlineStr">
        <is>
          <t>medium</t>
        </is>
      </c>
      <c r="BF136" s="13" t="n">
        <v>3</v>
      </c>
      <c r="BG136" s="13" t="n">
        <v>3</v>
      </c>
      <c r="BH136" s="13" t="inlineStr">
        <is>
          <t>Edge-optimized local chat (runs on Dell)</t>
        </is>
      </c>
      <c r="BI136" s="13" t="inlineStr">
        <is>
          <t>Depth tasks</t>
        </is>
      </c>
      <c r="BJ136" s="16" t="inlineStr">
        <is>
          <t>L</t>
        </is>
      </c>
      <c r="BK136" s="13" t="inlineStr">
        <is>
          <t>Edge 8B; local on Dell (ministral-3:8b); family-inherited estimate (scaled from flagship); verify before HIGH-stakes routing</t>
        </is>
      </c>
      <c r="BL136" s="13" t="inlineStr">
        <is>
          <t>2026-06-07</t>
        </is>
      </c>
    </row>
    <row r="137">
      <c r="A137" s="13" t="inlineStr">
        <is>
          <t>deepseek-v4-pro</t>
        </is>
      </c>
      <c r="B137" s="13" t="inlineStr">
        <is>
          <t>DeepSeek V4 Pro</t>
        </is>
      </c>
      <c r="C137" s="13" t="inlineStr">
        <is>
          <t>DeepSeek</t>
        </is>
      </c>
      <c r="D137" s="13" t="inlineStr">
        <is>
          <t>DeepSeek V4</t>
        </is>
      </c>
      <c r="E137" s="13" t="inlineStr">
        <is>
          <t>v4-pro</t>
        </is>
      </c>
      <c r="F137" s="13" t="inlineStr">
        <is>
          <t>Current</t>
        </is>
      </c>
      <c r="G137" s="13" t="inlineStr">
        <is>
          <t>Open Flagship (cheap)</t>
        </is>
      </c>
      <c r="H137" s="13" t="inlineStr">
        <is>
          <t>DeepSeek API</t>
        </is>
      </c>
      <c r="I137" s="13" t="inlineStr">
        <is>
          <t>HTTP API</t>
        </is>
      </c>
      <c r="J137" s="13" t="inlineStr">
        <is>
          <t>Not-keyed</t>
        </is>
      </c>
      <c r="K137" s="13" t="inlineStr">
        <is>
          <t>metered (not configured)</t>
        </is>
      </c>
      <c r="L137" s="13" t="inlineStr">
        <is>
          <t>No</t>
        </is>
      </c>
      <c r="M137" s="13" t="n">
        <v>9</v>
      </c>
      <c r="N137" s="13" t="n">
        <v>8.800000000000001</v>
      </c>
      <c r="O137" s="13" t="n">
        <v>8.6</v>
      </c>
      <c r="P137" s="13" t="n">
        <v>8.4</v>
      </c>
      <c r="Q137" s="13">
        <f>IFERROR(ROUND(AVERAGE(M137:P137),1),"")</f>
        <v/>
      </c>
      <c r="R137" s="13" t="n">
        <v>8.800000000000001</v>
      </c>
      <c r="S137" s="13" t="n">
        <v>8.6</v>
      </c>
      <c r="T137" s="13" t="n">
        <v>8.4</v>
      </c>
      <c r="U137" s="13" t="n">
        <v>8.800000000000001</v>
      </c>
      <c r="V137" s="13">
        <f>IFERROR(ROUND(AVERAGE(R137:U137),1),"")</f>
        <v/>
      </c>
      <c r="W137" s="13" t="n">
        <v>8.4</v>
      </c>
      <c r="X137" s="13" t="n">
        <v>8.4</v>
      </c>
      <c r="Y137" s="13" t="n">
        <v>8</v>
      </c>
      <c r="Z137" s="13" t="n">
        <v>8.4</v>
      </c>
      <c r="AA137" s="13">
        <f>IFERROR(ROUND(AVERAGE(W137:Z137),1),"")</f>
        <v/>
      </c>
      <c r="AB137" s="13" t="n">
        <v>8.199999999999999</v>
      </c>
      <c r="AC137" s="13" t="n">
        <v>8.199999999999999</v>
      </c>
      <c r="AD137" s="13" t="n">
        <v>8</v>
      </c>
      <c r="AE137" s="13" t="n">
        <v>8</v>
      </c>
      <c r="AF137" s="13">
        <f>IFERROR(ROUND(AVERAGE(AB137:AE137),1),"")</f>
        <v/>
      </c>
      <c r="AG137" s="13" t="n">
        <v>8.199999999999999</v>
      </c>
      <c r="AH137" s="13" t="n">
        <v>7.4</v>
      </c>
      <c r="AI137" s="13" t="n">
        <v>8.4</v>
      </c>
      <c r="AJ137" s="13" t="n">
        <v>8.4</v>
      </c>
      <c r="AK137" s="13">
        <f>IFERROR(ROUND(AVERAGE(AG137:AJ137),1),"")</f>
        <v/>
      </c>
      <c r="AL137" s="13" t="inlineStr"/>
      <c r="AM137" s="13" t="inlineStr"/>
      <c r="AN137" s="13" t="inlineStr"/>
      <c r="AO137" s="13">
        <f>IFERROR(ROUND(AVERAGE(AL137:AN137),1),"")</f>
        <v/>
      </c>
      <c r="AP137" s="13" t="n">
        <v>7</v>
      </c>
      <c r="AQ137" s="13" t="n">
        <v>7</v>
      </c>
      <c r="AR137" s="13" t="n">
        <v>10</v>
      </c>
      <c r="AS137" s="13" t="n">
        <v>9.5</v>
      </c>
      <c r="AT137" s="13">
        <f>IFERROR(ROUND(AVERAGE(AP137:AS137),1),"")</f>
        <v/>
      </c>
      <c r="AU137" s="13" t="n">
        <v>7.8</v>
      </c>
      <c r="AV137" s="13" t="n">
        <v>7.8</v>
      </c>
      <c r="AW137" s="13" t="n">
        <v>7.6</v>
      </c>
      <c r="AX137" s="13" t="n">
        <v>7.8</v>
      </c>
      <c r="AY137" s="13">
        <f>IFERROR(ROUND(AVERAGE(AU137:AX137),1),"")</f>
        <v/>
      </c>
      <c r="AZ137" s="13">
        <f>ROUND(0.19*N(Q137)+0.17*N(V137)+0.17*N(AA137)+0.1*N(AF137)+0.09*N(AK137)+0.12*N(AT137)+0.16*N(AY137),1)</f>
        <v/>
      </c>
      <c r="BA137" s="13" t="inlineStr">
        <is>
          <t>1M</t>
        </is>
      </c>
      <c r="BB137" s="13" t="n"/>
      <c r="BC137" s="13" t="n">
        <v>0.14</v>
      </c>
      <c r="BD137" s="13" t="inlineStr"/>
      <c r="BE137" s="13" t="inlineStr">
        <is>
          <t>high</t>
        </is>
      </c>
      <c r="BF137" s="13" t="n">
        <v>5</v>
      </c>
      <c r="BG137" s="13" t="n">
        <v>4</v>
      </c>
      <c r="BH137" s="13" t="inlineStr">
        <is>
          <t>Frontier reasoning/coding at price floor ($0.14/M)</t>
        </is>
      </c>
      <c r="BI137" s="13" t="inlineStr">
        <is>
          <t>Native multimodal</t>
        </is>
      </c>
      <c r="BJ137" s="14" t="inlineStr">
        <is>
          <t>H</t>
        </is>
      </c>
      <c r="BK137" s="13" t="inlineStr">
        <is>
          <t>Leads SWE-bench/LiveCodeBench; 1.6T/49B-active; benchmark-anchored (AA Index, SWE-bench, GPQA, ARC-AGI-2, Aider, MMMU 2026-06)</t>
        </is>
      </c>
      <c r="BL137" s="13" t="inlineStr">
        <is>
          <t>2026-06-07</t>
        </is>
      </c>
    </row>
    <row r="138">
      <c r="A138" s="13" t="inlineStr">
        <is>
          <t>deepseek-v4-pro</t>
        </is>
      </c>
      <c r="B138" s="13" t="inlineStr">
        <is>
          <t>DeepSeek V4 Pro</t>
        </is>
      </c>
      <c r="C138" s="13" t="inlineStr">
        <is>
          <t>DeepSeek</t>
        </is>
      </c>
      <c r="D138" s="13" t="inlineStr">
        <is>
          <t>DeepSeek V4</t>
        </is>
      </c>
      <c r="E138" s="13" t="inlineStr">
        <is>
          <t>v4-pro</t>
        </is>
      </c>
      <c r="F138" s="13" t="inlineStr">
        <is>
          <t>Current</t>
        </is>
      </c>
      <c r="G138" s="13" t="inlineStr">
        <is>
          <t>Open Flagship (cheap)</t>
        </is>
      </c>
      <c r="H138" s="13" t="inlineStr">
        <is>
          <t>Together AI</t>
        </is>
      </c>
      <c r="I138" s="13" t="inlineStr">
        <is>
          <t>Aggregator</t>
        </is>
      </c>
      <c r="J138" s="13" t="inlineStr">
        <is>
          <t>Not-keyed</t>
        </is>
      </c>
      <c r="K138" s="13" t="inlineStr">
        <is>
          <t>metered (not configured)</t>
        </is>
      </c>
      <c r="L138" s="13" t="inlineStr">
        <is>
          <t>No</t>
        </is>
      </c>
      <c r="M138" s="13" t="n">
        <v>9</v>
      </c>
      <c r="N138" s="13" t="n">
        <v>8.800000000000001</v>
      </c>
      <c r="O138" s="13" t="n">
        <v>8.6</v>
      </c>
      <c r="P138" s="13" t="n">
        <v>8.4</v>
      </c>
      <c r="Q138" s="13">
        <f>IFERROR(ROUND(AVERAGE(M138:P138),1),"")</f>
        <v/>
      </c>
      <c r="R138" s="13" t="n">
        <v>8.800000000000001</v>
      </c>
      <c r="S138" s="13" t="n">
        <v>8.6</v>
      </c>
      <c r="T138" s="13" t="n">
        <v>8.4</v>
      </c>
      <c r="U138" s="13" t="n">
        <v>8.800000000000001</v>
      </c>
      <c r="V138" s="13">
        <f>IFERROR(ROUND(AVERAGE(R138:U138),1),"")</f>
        <v/>
      </c>
      <c r="W138" s="13" t="n">
        <v>8.4</v>
      </c>
      <c r="X138" s="13" t="n">
        <v>8.4</v>
      </c>
      <c r="Y138" s="13" t="n">
        <v>8</v>
      </c>
      <c r="Z138" s="13" t="n">
        <v>8.4</v>
      </c>
      <c r="AA138" s="13">
        <f>IFERROR(ROUND(AVERAGE(W138:Z138),1),"")</f>
        <v/>
      </c>
      <c r="AB138" s="13" t="n">
        <v>8.199999999999999</v>
      </c>
      <c r="AC138" s="13" t="n">
        <v>8.199999999999999</v>
      </c>
      <c r="AD138" s="13" t="n">
        <v>8</v>
      </c>
      <c r="AE138" s="13" t="n">
        <v>8</v>
      </c>
      <c r="AF138" s="13">
        <f>IFERROR(ROUND(AVERAGE(AB138:AE138),1),"")</f>
        <v/>
      </c>
      <c r="AG138" s="13" t="n">
        <v>8.199999999999999</v>
      </c>
      <c r="AH138" s="13" t="n">
        <v>7.4</v>
      </c>
      <c r="AI138" s="13" t="n">
        <v>8.4</v>
      </c>
      <c r="AJ138" s="13" t="n">
        <v>8.4</v>
      </c>
      <c r="AK138" s="13">
        <f>IFERROR(ROUND(AVERAGE(AG138:AJ138),1),"")</f>
        <v/>
      </c>
      <c r="AL138" s="13" t="inlineStr"/>
      <c r="AM138" s="13" t="inlineStr"/>
      <c r="AN138" s="13" t="inlineStr"/>
      <c r="AO138" s="13">
        <f>IFERROR(ROUND(AVERAGE(AL138:AN138),1),"")</f>
        <v/>
      </c>
      <c r="AP138" s="13" t="n">
        <v>7</v>
      </c>
      <c r="AQ138" s="13" t="n">
        <v>7</v>
      </c>
      <c r="AR138" s="13" t="n">
        <v>10</v>
      </c>
      <c r="AS138" s="13" t="n">
        <v>9.5</v>
      </c>
      <c r="AT138" s="13">
        <f>IFERROR(ROUND(AVERAGE(AP138:AS138),1),"")</f>
        <v/>
      </c>
      <c r="AU138" s="13" t="n">
        <v>7.8</v>
      </c>
      <c r="AV138" s="13" t="n">
        <v>7.8</v>
      </c>
      <c r="AW138" s="13" t="n">
        <v>7.6</v>
      </c>
      <c r="AX138" s="13" t="n">
        <v>7.8</v>
      </c>
      <c r="AY138" s="13">
        <f>IFERROR(ROUND(AVERAGE(AU138:AX138),1),"")</f>
        <v/>
      </c>
      <c r="AZ138" s="13">
        <f>ROUND(0.19*N(Q138)+0.17*N(V138)+0.17*N(AA138)+0.1*N(AF138)+0.09*N(AK138)+0.12*N(AT138)+0.16*N(AY138),1)</f>
        <v/>
      </c>
      <c r="BA138" s="13" t="inlineStr">
        <is>
          <t>1M</t>
        </is>
      </c>
      <c r="BB138" s="13" t="n"/>
      <c r="BC138" s="13" t="n">
        <v>0.14</v>
      </c>
      <c r="BD138" s="13" t="inlineStr"/>
      <c r="BE138" s="13" t="inlineStr">
        <is>
          <t>high</t>
        </is>
      </c>
      <c r="BF138" s="13" t="n">
        <v>5</v>
      </c>
      <c r="BG138" s="13" t="n">
        <v>4</v>
      </c>
      <c r="BH138" s="13" t="inlineStr">
        <is>
          <t>Frontier reasoning/coding at price floor ($0.14/M)</t>
        </is>
      </c>
      <c r="BI138" s="13" t="inlineStr">
        <is>
          <t>Native multimodal</t>
        </is>
      </c>
      <c r="BJ138" s="14" t="inlineStr">
        <is>
          <t>H</t>
        </is>
      </c>
      <c r="BK138" s="13" t="inlineStr">
        <is>
          <t>Leads SWE-bench/LiveCodeBench; 1.6T/49B-active; benchmark-anchored (AA Index, SWE-bench, GPQA, ARC-AGI-2, Aider, MMMU 2026-06)</t>
        </is>
      </c>
      <c r="BL138" s="13" t="inlineStr">
        <is>
          <t>2026-06-07</t>
        </is>
      </c>
    </row>
    <row r="139">
      <c r="A139" s="13" t="inlineStr">
        <is>
          <t>deepseek-v4-pro</t>
        </is>
      </c>
      <c r="B139" s="13" t="inlineStr">
        <is>
          <t>DeepSeek V4 Pro</t>
        </is>
      </c>
      <c r="C139" s="13" t="inlineStr">
        <is>
          <t>DeepSeek</t>
        </is>
      </c>
      <c r="D139" s="13" t="inlineStr">
        <is>
          <t>DeepSeek V4</t>
        </is>
      </c>
      <c r="E139" s="13" t="inlineStr">
        <is>
          <t>v4-pro</t>
        </is>
      </c>
      <c r="F139" s="13" t="inlineStr">
        <is>
          <t>Current</t>
        </is>
      </c>
      <c r="G139" s="13" t="inlineStr">
        <is>
          <t>Open Flagship (cheap)</t>
        </is>
      </c>
      <c r="H139" s="13" t="inlineStr">
        <is>
          <t>Fireworks AI</t>
        </is>
      </c>
      <c r="I139" s="13" t="inlineStr">
        <is>
          <t>Aggregator</t>
        </is>
      </c>
      <c r="J139" s="13" t="inlineStr">
        <is>
          <t>Not-keyed</t>
        </is>
      </c>
      <c r="K139" s="13" t="inlineStr">
        <is>
          <t>metered (not configured)</t>
        </is>
      </c>
      <c r="L139" s="13" t="inlineStr">
        <is>
          <t>No</t>
        </is>
      </c>
      <c r="M139" s="13" t="n">
        <v>9</v>
      </c>
      <c r="N139" s="13" t="n">
        <v>8.800000000000001</v>
      </c>
      <c r="O139" s="13" t="n">
        <v>8.6</v>
      </c>
      <c r="P139" s="13" t="n">
        <v>8.4</v>
      </c>
      <c r="Q139" s="13">
        <f>IFERROR(ROUND(AVERAGE(M139:P139),1),"")</f>
        <v/>
      </c>
      <c r="R139" s="13" t="n">
        <v>8.800000000000001</v>
      </c>
      <c r="S139" s="13" t="n">
        <v>8.6</v>
      </c>
      <c r="T139" s="13" t="n">
        <v>8.4</v>
      </c>
      <c r="U139" s="13" t="n">
        <v>8.800000000000001</v>
      </c>
      <c r="V139" s="13">
        <f>IFERROR(ROUND(AVERAGE(R139:U139),1),"")</f>
        <v/>
      </c>
      <c r="W139" s="13" t="n">
        <v>8.4</v>
      </c>
      <c r="X139" s="13" t="n">
        <v>8.4</v>
      </c>
      <c r="Y139" s="13" t="n">
        <v>8</v>
      </c>
      <c r="Z139" s="13" t="n">
        <v>8.4</v>
      </c>
      <c r="AA139" s="13">
        <f>IFERROR(ROUND(AVERAGE(W139:Z139),1),"")</f>
        <v/>
      </c>
      <c r="AB139" s="13" t="n">
        <v>8.199999999999999</v>
      </c>
      <c r="AC139" s="13" t="n">
        <v>8.199999999999999</v>
      </c>
      <c r="AD139" s="13" t="n">
        <v>8</v>
      </c>
      <c r="AE139" s="13" t="n">
        <v>8</v>
      </c>
      <c r="AF139" s="13">
        <f>IFERROR(ROUND(AVERAGE(AB139:AE139),1),"")</f>
        <v/>
      </c>
      <c r="AG139" s="13" t="n">
        <v>8.199999999999999</v>
      </c>
      <c r="AH139" s="13" t="n">
        <v>7.4</v>
      </c>
      <c r="AI139" s="13" t="n">
        <v>8.4</v>
      </c>
      <c r="AJ139" s="13" t="n">
        <v>8.4</v>
      </c>
      <c r="AK139" s="13">
        <f>IFERROR(ROUND(AVERAGE(AG139:AJ139),1),"")</f>
        <v/>
      </c>
      <c r="AL139" s="13" t="inlineStr"/>
      <c r="AM139" s="13" t="inlineStr"/>
      <c r="AN139" s="13" t="inlineStr"/>
      <c r="AO139" s="13">
        <f>IFERROR(ROUND(AVERAGE(AL139:AN139),1),"")</f>
        <v/>
      </c>
      <c r="AP139" s="13" t="n">
        <v>7</v>
      </c>
      <c r="AQ139" s="13" t="n">
        <v>7</v>
      </c>
      <c r="AR139" s="13" t="n">
        <v>10</v>
      </c>
      <c r="AS139" s="13" t="n">
        <v>9.5</v>
      </c>
      <c r="AT139" s="13">
        <f>IFERROR(ROUND(AVERAGE(AP139:AS139),1),"")</f>
        <v/>
      </c>
      <c r="AU139" s="13" t="n">
        <v>7.8</v>
      </c>
      <c r="AV139" s="13" t="n">
        <v>7.8</v>
      </c>
      <c r="AW139" s="13" t="n">
        <v>7.6</v>
      </c>
      <c r="AX139" s="13" t="n">
        <v>7.8</v>
      </c>
      <c r="AY139" s="13">
        <f>IFERROR(ROUND(AVERAGE(AU139:AX139),1),"")</f>
        <v/>
      </c>
      <c r="AZ139" s="13">
        <f>ROUND(0.19*N(Q139)+0.17*N(V139)+0.17*N(AA139)+0.1*N(AF139)+0.09*N(AK139)+0.12*N(AT139)+0.16*N(AY139),1)</f>
        <v/>
      </c>
      <c r="BA139" s="13" t="inlineStr">
        <is>
          <t>1M</t>
        </is>
      </c>
      <c r="BB139" s="13" t="n"/>
      <c r="BC139" s="13" t="n">
        <v>0.14</v>
      </c>
      <c r="BD139" s="13" t="inlineStr"/>
      <c r="BE139" s="13" t="inlineStr">
        <is>
          <t>high</t>
        </is>
      </c>
      <c r="BF139" s="13" t="n">
        <v>5</v>
      </c>
      <c r="BG139" s="13" t="n">
        <v>4</v>
      </c>
      <c r="BH139" s="13" t="inlineStr">
        <is>
          <t>Frontier reasoning/coding at price floor ($0.14/M)</t>
        </is>
      </c>
      <c r="BI139" s="13" t="inlineStr">
        <is>
          <t>Native multimodal</t>
        </is>
      </c>
      <c r="BJ139" s="14" t="inlineStr">
        <is>
          <t>H</t>
        </is>
      </c>
      <c r="BK139" s="13" t="inlineStr">
        <is>
          <t>Leads SWE-bench/LiveCodeBench; 1.6T/49B-active; benchmark-anchored (AA Index, SWE-bench, GPQA, ARC-AGI-2, Aider, MMMU 2026-06)</t>
        </is>
      </c>
      <c r="BL139" s="13" t="inlineStr">
        <is>
          <t>2026-06-07</t>
        </is>
      </c>
    </row>
    <row r="140">
      <c r="A140" s="13" t="inlineStr">
        <is>
          <t>deepseek-v4-pro</t>
        </is>
      </c>
      <c r="B140" s="13" t="inlineStr">
        <is>
          <t>DeepSeek V4 Pro</t>
        </is>
      </c>
      <c r="C140" s="13" t="inlineStr">
        <is>
          <t>DeepSeek</t>
        </is>
      </c>
      <c r="D140" s="13" t="inlineStr">
        <is>
          <t>DeepSeek V4</t>
        </is>
      </c>
      <c r="E140" s="13" t="inlineStr">
        <is>
          <t>v4-pro</t>
        </is>
      </c>
      <c r="F140" s="13" t="inlineStr">
        <is>
          <t>Current</t>
        </is>
      </c>
      <c r="G140" s="13" t="inlineStr">
        <is>
          <t>Open Flagship (cheap)</t>
        </is>
      </c>
      <c r="H140" s="13" t="inlineStr">
        <is>
          <t>OpenRouter</t>
        </is>
      </c>
      <c r="I140" s="13" t="inlineStr">
        <is>
          <t>Aggregator</t>
        </is>
      </c>
      <c r="J140" s="13" t="inlineStr">
        <is>
          <t>Not-keyed</t>
        </is>
      </c>
      <c r="K140" s="13" t="inlineStr">
        <is>
          <t>metered (not configured)</t>
        </is>
      </c>
      <c r="L140" s="13" t="inlineStr">
        <is>
          <t>No</t>
        </is>
      </c>
      <c r="M140" s="13" t="n">
        <v>9</v>
      </c>
      <c r="N140" s="13" t="n">
        <v>8.800000000000001</v>
      </c>
      <c r="O140" s="13" t="n">
        <v>8.6</v>
      </c>
      <c r="P140" s="13" t="n">
        <v>8.4</v>
      </c>
      <c r="Q140" s="13">
        <f>IFERROR(ROUND(AVERAGE(M140:P140),1),"")</f>
        <v/>
      </c>
      <c r="R140" s="13" t="n">
        <v>8.800000000000001</v>
      </c>
      <c r="S140" s="13" t="n">
        <v>8.6</v>
      </c>
      <c r="T140" s="13" t="n">
        <v>8.4</v>
      </c>
      <c r="U140" s="13" t="n">
        <v>8.800000000000001</v>
      </c>
      <c r="V140" s="13">
        <f>IFERROR(ROUND(AVERAGE(R140:U140),1),"")</f>
        <v/>
      </c>
      <c r="W140" s="13" t="n">
        <v>8.4</v>
      </c>
      <c r="X140" s="13" t="n">
        <v>8.4</v>
      </c>
      <c r="Y140" s="13" t="n">
        <v>8</v>
      </c>
      <c r="Z140" s="13" t="n">
        <v>8.4</v>
      </c>
      <c r="AA140" s="13">
        <f>IFERROR(ROUND(AVERAGE(W140:Z140),1),"")</f>
        <v/>
      </c>
      <c r="AB140" s="13" t="n">
        <v>8.199999999999999</v>
      </c>
      <c r="AC140" s="13" t="n">
        <v>8.199999999999999</v>
      </c>
      <c r="AD140" s="13" t="n">
        <v>8</v>
      </c>
      <c r="AE140" s="13" t="n">
        <v>8</v>
      </c>
      <c r="AF140" s="13">
        <f>IFERROR(ROUND(AVERAGE(AB140:AE140),1),"")</f>
        <v/>
      </c>
      <c r="AG140" s="13" t="n">
        <v>8.199999999999999</v>
      </c>
      <c r="AH140" s="13" t="n">
        <v>7.4</v>
      </c>
      <c r="AI140" s="13" t="n">
        <v>8.4</v>
      </c>
      <c r="AJ140" s="13" t="n">
        <v>8.4</v>
      </c>
      <c r="AK140" s="13">
        <f>IFERROR(ROUND(AVERAGE(AG140:AJ140),1),"")</f>
        <v/>
      </c>
      <c r="AL140" s="13" t="inlineStr"/>
      <c r="AM140" s="13" t="inlineStr"/>
      <c r="AN140" s="13" t="inlineStr"/>
      <c r="AO140" s="13">
        <f>IFERROR(ROUND(AVERAGE(AL140:AN140),1),"")</f>
        <v/>
      </c>
      <c r="AP140" s="13" t="n">
        <v>7</v>
      </c>
      <c r="AQ140" s="13" t="n">
        <v>7</v>
      </c>
      <c r="AR140" s="13" t="n">
        <v>10</v>
      </c>
      <c r="AS140" s="13" t="n">
        <v>9.5</v>
      </c>
      <c r="AT140" s="13">
        <f>IFERROR(ROUND(AVERAGE(AP140:AS140),1),"")</f>
        <v/>
      </c>
      <c r="AU140" s="13" t="n">
        <v>7.8</v>
      </c>
      <c r="AV140" s="13" t="n">
        <v>7.8</v>
      </c>
      <c r="AW140" s="13" t="n">
        <v>7.6</v>
      </c>
      <c r="AX140" s="13" t="n">
        <v>7.8</v>
      </c>
      <c r="AY140" s="13">
        <f>IFERROR(ROUND(AVERAGE(AU140:AX140),1),"")</f>
        <v/>
      </c>
      <c r="AZ140" s="13">
        <f>ROUND(0.19*N(Q140)+0.17*N(V140)+0.17*N(AA140)+0.1*N(AF140)+0.09*N(AK140)+0.12*N(AT140)+0.16*N(AY140),1)</f>
        <v/>
      </c>
      <c r="BA140" s="13" t="inlineStr">
        <is>
          <t>1M</t>
        </is>
      </c>
      <c r="BB140" s="13" t="n"/>
      <c r="BC140" s="13" t="n">
        <v>0.14</v>
      </c>
      <c r="BD140" s="13" t="inlineStr"/>
      <c r="BE140" s="13" t="inlineStr">
        <is>
          <t>high</t>
        </is>
      </c>
      <c r="BF140" s="13" t="n">
        <v>5</v>
      </c>
      <c r="BG140" s="13" t="n">
        <v>4</v>
      </c>
      <c r="BH140" s="13" t="inlineStr">
        <is>
          <t>Frontier reasoning/coding at price floor ($0.14/M)</t>
        </is>
      </c>
      <c r="BI140" s="13" t="inlineStr">
        <is>
          <t>Native multimodal</t>
        </is>
      </c>
      <c r="BJ140" s="14" t="inlineStr">
        <is>
          <t>H</t>
        </is>
      </c>
      <c r="BK140" s="13" t="inlineStr">
        <is>
          <t>Leads SWE-bench/LiveCodeBench; 1.6T/49B-active; benchmark-anchored (AA Index, SWE-bench, GPQA, ARC-AGI-2, Aider, MMMU 2026-06)</t>
        </is>
      </c>
      <c r="BL140" s="13" t="inlineStr">
        <is>
          <t>2026-06-07</t>
        </is>
      </c>
    </row>
    <row r="141">
      <c r="A141" s="13" t="inlineStr">
        <is>
          <t>deepseek-v4-flash</t>
        </is>
      </c>
      <c r="B141" s="13" t="inlineStr">
        <is>
          <t>DeepSeek V4 Flash</t>
        </is>
      </c>
      <c r="C141" s="13" t="inlineStr">
        <is>
          <t>DeepSeek</t>
        </is>
      </c>
      <c r="D141" s="13" t="inlineStr">
        <is>
          <t>DeepSeek V4</t>
        </is>
      </c>
      <c r="E141" s="13" t="inlineStr">
        <is>
          <t>v4-flash</t>
        </is>
      </c>
      <c r="F141" s="13" t="inlineStr">
        <is>
          <t>Current</t>
        </is>
      </c>
      <c r="G141" s="13" t="inlineStr">
        <is>
          <t>Fast-Cheap</t>
        </is>
      </c>
      <c r="H141" s="13" t="inlineStr">
        <is>
          <t>DeepSeek API</t>
        </is>
      </c>
      <c r="I141" s="13" t="inlineStr">
        <is>
          <t>HTTP API</t>
        </is>
      </c>
      <c r="J141" s="13" t="inlineStr">
        <is>
          <t>Not-keyed</t>
        </is>
      </c>
      <c r="K141" s="13" t="inlineStr">
        <is>
          <t>metered (not configured)</t>
        </is>
      </c>
      <c r="L141" s="13" t="inlineStr">
        <is>
          <t>No</t>
        </is>
      </c>
      <c r="M141" s="13" t="n">
        <v>8</v>
      </c>
      <c r="N141" s="13" t="n">
        <v>7.8</v>
      </c>
      <c r="O141" s="13" t="n">
        <v>7.4</v>
      </c>
      <c r="P141" s="13" t="n">
        <v>7.6</v>
      </c>
      <c r="Q141" s="13">
        <f>IFERROR(ROUND(AVERAGE(M141:P141),1),"")</f>
        <v/>
      </c>
      <c r="R141" s="13" t="n">
        <v>7.8</v>
      </c>
      <c r="S141" s="13" t="n">
        <v>7.4</v>
      </c>
      <c r="T141" s="13" t="n">
        <v>7.2</v>
      </c>
      <c r="U141" s="13" t="n">
        <v>7.8</v>
      </c>
      <c r="V141" s="13">
        <f>IFERROR(ROUND(AVERAGE(R141:U141),1),"")</f>
        <v/>
      </c>
      <c r="W141" s="13" t="n">
        <v>7.6</v>
      </c>
      <c r="X141" s="13" t="n">
        <v>7.4</v>
      </c>
      <c r="Y141" s="13" t="n">
        <v>7</v>
      </c>
      <c r="Z141" s="13" t="n">
        <v>7.6</v>
      </c>
      <c r="AA141" s="13">
        <f>IFERROR(ROUND(AVERAGE(W141:Z141),1),"")</f>
        <v/>
      </c>
      <c r="AB141" s="13" t="n">
        <v>7.6</v>
      </c>
      <c r="AC141" s="13" t="n">
        <v>7.6</v>
      </c>
      <c r="AD141" s="13" t="n">
        <v>7.4</v>
      </c>
      <c r="AE141" s="13" t="n">
        <v>7.4</v>
      </c>
      <c r="AF141" s="13">
        <f>IFERROR(ROUND(AVERAGE(AB141:AE141),1),"")</f>
        <v/>
      </c>
      <c r="AG141" s="13" t="n">
        <v>7.2</v>
      </c>
      <c r="AH141" s="13" t="n">
        <v>6.6</v>
      </c>
      <c r="AI141" s="13" t="n">
        <v>7.6</v>
      </c>
      <c r="AJ141" s="13" t="n">
        <v>7.4</v>
      </c>
      <c r="AK141" s="13">
        <f>IFERROR(ROUND(AVERAGE(AG141:AJ141),1),"")</f>
        <v/>
      </c>
      <c r="AL141" s="13" t="inlineStr"/>
      <c r="AM141" s="13" t="inlineStr"/>
      <c r="AN141" s="13" t="inlineStr"/>
      <c r="AO141" s="13">
        <f>IFERROR(ROUND(AVERAGE(AL141:AN141),1),"")</f>
        <v/>
      </c>
      <c r="AP141" s="13" t="n">
        <v>8.6</v>
      </c>
      <c r="AQ141" s="13" t="n">
        <v>8.6</v>
      </c>
      <c r="AR141" s="13" t="n">
        <v>10</v>
      </c>
      <c r="AS141" s="13" t="n">
        <v>9.6</v>
      </c>
      <c r="AT141" s="13">
        <f>IFERROR(ROUND(AVERAGE(AP141:AS141),1),"")</f>
        <v/>
      </c>
      <c r="AU141" s="13" t="n">
        <v>7.4</v>
      </c>
      <c r="AV141" s="13" t="n">
        <v>7.6</v>
      </c>
      <c r="AW141" s="13" t="n">
        <v>7.4</v>
      </c>
      <c r="AX141" s="13" t="n">
        <v>7.4</v>
      </c>
      <c r="AY141" s="13">
        <f>IFERROR(ROUND(AVERAGE(AU141:AX141),1),"")</f>
        <v/>
      </c>
      <c r="AZ141" s="13">
        <f>ROUND(0.19*N(Q141)+0.17*N(V141)+0.17*N(AA141)+0.1*N(AF141)+0.09*N(AK141)+0.12*N(AT141)+0.16*N(AY141),1)</f>
        <v/>
      </c>
      <c r="BA141" s="13" t="inlineStr">
        <is>
          <t>1M</t>
        </is>
      </c>
      <c r="BB141" s="13" t="n"/>
      <c r="BC141" s="13" t="inlineStr"/>
      <c r="BD141" s="13" t="inlineStr"/>
      <c r="BE141" s="13" t="inlineStr">
        <is>
          <t>medium</t>
        </is>
      </c>
      <c r="BF141" s="13" t="n">
        <v>4</v>
      </c>
      <c r="BG141" s="13" t="n">
        <v>3</v>
      </c>
      <c r="BH141" s="13" t="inlineStr">
        <is>
          <t>Fast cheap long-context</t>
        </is>
      </c>
      <c r="BI141" s="13" t="inlineStr"/>
      <c r="BJ141" s="15" t="inlineStr">
        <is>
          <t>M</t>
        </is>
      </c>
      <c r="BK141" s="13" t="inlineStr">
        <is>
          <t>284B/13B-active; family-inherited estimate (scaled from flagship); verify before HIGH-stakes routing</t>
        </is>
      </c>
      <c r="BL141" s="13" t="inlineStr">
        <is>
          <t>2026-06-07</t>
        </is>
      </c>
    </row>
    <row r="142">
      <c r="A142" s="13" t="inlineStr">
        <is>
          <t>deepseek-v4-flash</t>
        </is>
      </c>
      <c r="B142" s="13" t="inlineStr">
        <is>
          <t>DeepSeek V4 Flash</t>
        </is>
      </c>
      <c r="C142" s="13" t="inlineStr">
        <is>
          <t>DeepSeek</t>
        </is>
      </c>
      <c r="D142" s="13" t="inlineStr">
        <is>
          <t>DeepSeek V4</t>
        </is>
      </c>
      <c r="E142" s="13" t="inlineStr">
        <is>
          <t>v4-flash</t>
        </is>
      </c>
      <c r="F142" s="13" t="inlineStr">
        <is>
          <t>Current</t>
        </is>
      </c>
      <c r="G142" s="13" t="inlineStr">
        <is>
          <t>Fast-Cheap</t>
        </is>
      </c>
      <c r="H142" s="13" t="inlineStr">
        <is>
          <t>Together AI</t>
        </is>
      </c>
      <c r="I142" s="13" t="inlineStr">
        <is>
          <t>Aggregator</t>
        </is>
      </c>
      <c r="J142" s="13" t="inlineStr">
        <is>
          <t>Not-keyed</t>
        </is>
      </c>
      <c r="K142" s="13" t="inlineStr">
        <is>
          <t>metered (not configured)</t>
        </is>
      </c>
      <c r="L142" s="13" t="inlineStr">
        <is>
          <t>No</t>
        </is>
      </c>
      <c r="M142" s="13" t="n">
        <v>8</v>
      </c>
      <c r="N142" s="13" t="n">
        <v>7.8</v>
      </c>
      <c r="O142" s="13" t="n">
        <v>7.4</v>
      </c>
      <c r="P142" s="13" t="n">
        <v>7.6</v>
      </c>
      <c r="Q142" s="13">
        <f>IFERROR(ROUND(AVERAGE(M142:P142),1),"")</f>
        <v/>
      </c>
      <c r="R142" s="13" t="n">
        <v>7.8</v>
      </c>
      <c r="S142" s="13" t="n">
        <v>7.4</v>
      </c>
      <c r="T142" s="13" t="n">
        <v>7.2</v>
      </c>
      <c r="U142" s="13" t="n">
        <v>7.8</v>
      </c>
      <c r="V142" s="13">
        <f>IFERROR(ROUND(AVERAGE(R142:U142),1),"")</f>
        <v/>
      </c>
      <c r="W142" s="13" t="n">
        <v>7.6</v>
      </c>
      <c r="X142" s="13" t="n">
        <v>7.4</v>
      </c>
      <c r="Y142" s="13" t="n">
        <v>7</v>
      </c>
      <c r="Z142" s="13" t="n">
        <v>7.6</v>
      </c>
      <c r="AA142" s="13">
        <f>IFERROR(ROUND(AVERAGE(W142:Z142),1),"")</f>
        <v/>
      </c>
      <c r="AB142" s="13" t="n">
        <v>7.6</v>
      </c>
      <c r="AC142" s="13" t="n">
        <v>7.6</v>
      </c>
      <c r="AD142" s="13" t="n">
        <v>7.4</v>
      </c>
      <c r="AE142" s="13" t="n">
        <v>7.4</v>
      </c>
      <c r="AF142" s="13">
        <f>IFERROR(ROUND(AVERAGE(AB142:AE142),1),"")</f>
        <v/>
      </c>
      <c r="AG142" s="13" t="n">
        <v>7.2</v>
      </c>
      <c r="AH142" s="13" t="n">
        <v>6.6</v>
      </c>
      <c r="AI142" s="13" t="n">
        <v>7.6</v>
      </c>
      <c r="AJ142" s="13" t="n">
        <v>7.4</v>
      </c>
      <c r="AK142" s="13">
        <f>IFERROR(ROUND(AVERAGE(AG142:AJ142),1),"")</f>
        <v/>
      </c>
      <c r="AL142" s="13" t="inlineStr"/>
      <c r="AM142" s="13" t="inlineStr"/>
      <c r="AN142" s="13" t="inlineStr"/>
      <c r="AO142" s="13">
        <f>IFERROR(ROUND(AVERAGE(AL142:AN142),1),"")</f>
        <v/>
      </c>
      <c r="AP142" s="13" t="n">
        <v>8.6</v>
      </c>
      <c r="AQ142" s="13" t="n">
        <v>8.6</v>
      </c>
      <c r="AR142" s="13" t="n">
        <v>10</v>
      </c>
      <c r="AS142" s="13" t="n">
        <v>9.6</v>
      </c>
      <c r="AT142" s="13">
        <f>IFERROR(ROUND(AVERAGE(AP142:AS142),1),"")</f>
        <v/>
      </c>
      <c r="AU142" s="13" t="n">
        <v>7.4</v>
      </c>
      <c r="AV142" s="13" t="n">
        <v>7.6</v>
      </c>
      <c r="AW142" s="13" t="n">
        <v>7.4</v>
      </c>
      <c r="AX142" s="13" t="n">
        <v>7.4</v>
      </c>
      <c r="AY142" s="13">
        <f>IFERROR(ROUND(AVERAGE(AU142:AX142),1),"")</f>
        <v/>
      </c>
      <c r="AZ142" s="13">
        <f>ROUND(0.19*N(Q142)+0.17*N(V142)+0.17*N(AA142)+0.1*N(AF142)+0.09*N(AK142)+0.12*N(AT142)+0.16*N(AY142),1)</f>
        <v/>
      </c>
      <c r="BA142" s="13" t="inlineStr">
        <is>
          <t>1M</t>
        </is>
      </c>
      <c r="BB142" s="13" t="n"/>
      <c r="BC142" s="13" t="inlineStr"/>
      <c r="BD142" s="13" t="inlineStr"/>
      <c r="BE142" s="13" t="inlineStr">
        <is>
          <t>medium</t>
        </is>
      </c>
      <c r="BF142" s="13" t="n">
        <v>4</v>
      </c>
      <c r="BG142" s="13" t="n">
        <v>3</v>
      </c>
      <c r="BH142" s="13" t="inlineStr">
        <is>
          <t>Fast cheap long-context</t>
        </is>
      </c>
      <c r="BI142" s="13" t="inlineStr"/>
      <c r="BJ142" s="15" t="inlineStr">
        <is>
          <t>M</t>
        </is>
      </c>
      <c r="BK142" s="13" t="inlineStr">
        <is>
          <t>284B/13B-active; family-inherited estimate (scaled from flagship); verify before HIGH-stakes routing</t>
        </is>
      </c>
      <c r="BL142" s="13" t="inlineStr">
        <is>
          <t>2026-06-07</t>
        </is>
      </c>
    </row>
    <row r="143">
      <c r="A143" s="13" t="inlineStr">
        <is>
          <t>deepseek-v4-flash</t>
        </is>
      </c>
      <c r="B143" s="13" t="inlineStr">
        <is>
          <t>DeepSeek V4 Flash</t>
        </is>
      </c>
      <c r="C143" s="13" t="inlineStr">
        <is>
          <t>DeepSeek</t>
        </is>
      </c>
      <c r="D143" s="13" t="inlineStr">
        <is>
          <t>DeepSeek V4</t>
        </is>
      </c>
      <c r="E143" s="13" t="inlineStr">
        <is>
          <t>v4-flash</t>
        </is>
      </c>
      <c r="F143" s="13" t="inlineStr">
        <is>
          <t>Current</t>
        </is>
      </c>
      <c r="G143" s="13" t="inlineStr">
        <is>
          <t>Fast-Cheap</t>
        </is>
      </c>
      <c r="H143" s="13" t="inlineStr">
        <is>
          <t>OpenRouter</t>
        </is>
      </c>
      <c r="I143" s="13" t="inlineStr">
        <is>
          <t>Aggregator</t>
        </is>
      </c>
      <c r="J143" s="13" t="inlineStr">
        <is>
          <t>Not-keyed</t>
        </is>
      </c>
      <c r="K143" s="13" t="inlineStr">
        <is>
          <t>metered (not configured)</t>
        </is>
      </c>
      <c r="L143" s="13" t="inlineStr">
        <is>
          <t>No</t>
        </is>
      </c>
      <c r="M143" s="13" t="n">
        <v>8</v>
      </c>
      <c r="N143" s="13" t="n">
        <v>7.8</v>
      </c>
      <c r="O143" s="13" t="n">
        <v>7.4</v>
      </c>
      <c r="P143" s="13" t="n">
        <v>7.6</v>
      </c>
      <c r="Q143" s="13">
        <f>IFERROR(ROUND(AVERAGE(M143:P143),1),"")</f>
        <v/>
      </c>
      <c r="R143" s="13" t="n">
        <v>7.8</v>
      </c>
      <c r="S143" s="13" t="n">
        <v>7.4</v>
      </c>
      <c r="T143" s="13" t="n">
        <v>7.2</v>
      </c>
      <c r="U143" s="13" t="n">
        <v>7.8</v>
      </c>
      <c r="V143" s="13">
        <f>IFERROR(ROUND(AVERAGE(R143:U143),1),"")</f>
        <v/>
      </c>
      <c r="W143" s="13" t="n">
        <v>7.6</v>
      </c>
      <c r="X143" s="13" t="n">
        <v>7.4</v>
      </c>
      <c r="Y143" s="13" t="n">
        <v>7</v>
      </c>
      <c r="Z143" s="13" t="n">
        <v>7.6</v>
      </c>
      <c r="AA143" s="13">
        <f>IFERROR(ROUND(AVERAGE(W143:Z143),1),"")</f>
        <v/>
      </c>
      <c r="AB143" s="13" t="n">
        <v>7.6</v>
      </c>
      <c r="AC143" s="13" t="n">
        <v>7.6</v>
      </c>
      <c r="AD143" s="13" t="n">
        <v>7.4</v>
      </c>
      <c r="AE143" s="13" t="n">
        <v>7.4</v>
      </c>
      <c r="AF143" s="13">
        <f>IFERROR(ROUND(AVERAGE(AB143:AE143),1),"")</f>
        <v/>
      </c>
      <c r="AG143" s="13" t="n">
        <v>7.2</v>
      </c>
      <c r="AH143" s="13" t="n">
        <v>6.6</v>
      </c>
      <c r="AI143" s="13" t="n">
        <v>7.6</v>
      </c>
      <c r="AJ143" s="13" t="n">
        <v>7.4</v>
      </c>
      <c r="AK143" s="13">
        <f>IFERROR(ROUND(AVERAGE(AG143:AJ143),1),"")</f>
        <v/>
      </c>
      <c r="AL143" s="13" t="inlineStr"/>
      <c r="AM143" s="13" t="inlineStr"/>
      <c r="AN143" s="13" t="inlineStr"/>
      <c r="AO143" s="13">
        <f>IFERROR(ROUND(AVERAGE(AL143:AN143),1),"")</f>
        <v/>
      </c>
      <c r="AP143" s="13" t="n">
        <v>8.6</v>
      </c>
      <c r="AQ143" s="13" t="n">
        <v>8.6</v>
      </c>
      <c r="AR143" s="13" t="n">
        <v>10</v>
      </c>
      <c r="AS143" s="13" t="n">
        <v>9.6</v>
      </c>
      <c r="AT143" s="13">
        <f>IFERROR(ROUND(AVERAGE(AP143:AS143),1),"")</f>
        <v/>
      </c>
      <c r="AU143" s="13" t="n">
        <v>7.4</v>
      </c>
      <c r="AV143" s="13" t="n">
        <v>7.6</v>
      </c>
      <c r="AW143" s="13" t="n">
        <v>7.4</v>
      </c>
      <c r="AX143" s="13" t="n">
        <v>7.4</v>
      </c>
      <c r="AY143" s="13">
        <f>IFERROR(ROUND(AVERAGE(AU143:AX143),1),"")</f>
        <v/>
      </c>
      <c r="AZ143" s="13">
        <f>ROUND(0.19*N(Q143)+0.17*N(V143)+0.17*N(AA143)+0.1*N(AF143)+0.09*N(AK143)+0.12*N(AT143)+0.16*N(AY143),1)</f>
        <v/>
      </c>
      <c r="BA143" s="13" t="inlineStr">
        <is>
          <t>1M</t>
        </is>
      </c>
      <c r="BB143" s="13" t="n"/>
      <c r="BC143" s="13" t="inlineStr"/>
      <c r="BD143" s="13" t="inlineStr"/>
      <c r="BE143" s="13" t="inlineStr">
        <is>
          <t>medium</t>
        </is>
      </c>
      <c r="BF143" s="13" t="n">
        <v>4</v>
      </c>
      <c r="BG143" s="13" t="n">
        <v>3</v>
      </c>
      <c r="BH143" s="13" t="inlineStr">
        <is>
          <t>Fast cheap long-context</t>
        </is>
      </c>
      <c r="BI143" s="13" t="inlineStr"/>
      <c r="BJ143" s="15" t="inlineStr">
        <is>
          <t>M</t>
        </is>
      </c>
      <c r="BK143" s="13" t="inlineStr">
        <is>
          <t>284B/13B-active; family-inherited estimate (scaled from flagship); verify before HIGH-stakes routing</t>
        </is>
      </c>
      <c r="BL143" s="13" t="inlineStr">
        <is>
          <t>2026-06-07</t>
        </is>
      </c>
    </row>
    <row r="144">
      <c r="A144" s="13" t="inlineStr">
        <is>
          <t>deepseek-v3-1</t>
        </is>
      </c>
      <c r="B144" s="13" t="inlineStr">
        <is>
          <t>DeepSeek V3.1</t>
        </is>
      </c>
      <c r="C144" s="13" t="inlineStr">
        <is>
          <t>DeepSeek</t>
        </is>
      </c>
      <c r="D144" s="13" t="inlineStr">
        <is>
          <t>DeepSeek V3</t>
        </is>
      </c>
      <c r="E144" s="13" t="inlineStr">
        <is>
          <t>v3.1</t>
        </is>
      </c>
      <c r="F144" s="13" t="inlineStr">
        <is>
          <t>Legacy</t>
        </is>
      </c>
      <c r="G144" s="13" t="inlineStr">
        <is>
          <t>General/long-ctx</t>
        </is>
      </c>
      <c r="H144" s="13" t="inlineStr">
        <is>
          <t>DeepSeek API</t>
        </is>
      </c>
      <c r="I144" s="13" t="inlineStr">
        <is>
          <t>HTTP API</t>
        </is>
      </c>
      <c r="J144" s="13" t="inlineStr">
        <is>
          <t>Not-keyed</t>
        </is>
      </c>
      <c r="K144" s="13" t="inlineStr">
        <is>
          <t>metered (not configured)</t>
        </is>
      </c>
      <c r="L144" s="13" t="inlineStr">
        <is>
          <t>No</t>
        </is>
      </c>
      <c r="M144" s="13" t="n">
        <v>7.8</v>
      </c>
      <c r="N144" s="13" t="n">
        <v>7.4</v>
      </c>
      <c r="O144" s="13" t="n">
        <v>7.2</v>
      </c>
      <c r="P144" s="13" t="n">
        <v>7.4</v>
      </c>
      <c r="Q144" s="13">
        <f>IFERROR(ROUND(AVERAGE(M144:P144),1),"")</f>
        <v/>
      </c>
      <c r="R144" s="13" t="n">
        <v>7.6</v>
      </c>
      <c r="S144" s="13" t="n">
        <v>7</v>
      </c>
      <c r="T144" s="13" t="n">
        <v>7</v>
      </c>
      <c r="U144" s="13" t="n">
        <v>7.6</v>
      </c>
      <c r="V144" s="13">
        <f>IFERROR(ROUND(AVERAGE(R144:U144),1),"")</f>
        <v/>
      </c>
      <c r="W144" s="13" t="n">
        <v>7.2</v>
      </c>
      <c r="X144" s="13" t="n">
        <v>7</v>
      </c>
      <c r="Y144" s="13" t="n">
        <v>6.6</v>
      </c>
      <c r="Z144" s="13" t="n">
        <v>7.4</v>
      </c>
      <c r="AA144" s="13">
        <f>IFERROR(ROUND(AVERAGE(W144:Z144),1),"")</f>
        <v/>
      </c>
      <c r="AB144" s="13" t="n">
        <v>7.4</v>
      </c>
      <c r="AC144" s="13" t="n">
        <v>7.4</v>
      </c>
      <c r="AD144" s="13" t="n">
        <v>7.2</v>
      </c>
      <c r="AE144" s="13" t="n">
        <v>7.2</v>
      </c>
      <c r="AF144" s="13">
        <f>IFERROR(ROUND(AVERAGE(AB144:AE144),1),"")</f>
        <v/>
      </c>
      <c r="AG144" s="13" t="n">
        <v>7</v>
      </c>
      <c r="AH144" s="13" t="n">
        <v>6.4</v>
      </c>
      <c r="AI144" s="13" t="n">
        <v>7.4</v>
      </c>
      <c r="AJ144" s="13" t="n">
        <v>7.2</v>
      </c>
      <c r="AK144" s="13">
        <f>IFERROR(ROUND(AVERAGE(AG144:AJ144),1),"")</f>
        <v/>
      </c>
      <c r="AL144" s="13" t="inlineStr"/>
      <c r="AM144" s="13" t="inlineStr"/>
      <c r="AN144" s="13" t="inlineStr"/>
      <c r="AO144" s="13">
        <f>IFERROR(ROUND(AVERAGE(AL144:AN144),1),"")</f>
        <v/>
      </c>
      <c r="AP144" s="13" t="n">
        <v>7.5</v>
      </c>
      <c r="AQ144" s="13" t="n">
        <v>7.5</v>
      </c>
      <c r="AR144" s="13" t="n">
        <v>9</v>
      </c>
      <c r="AS144" s="13" t="n">
        <v>9.199999999999999</v>
      </c>
      <c r="AT144" s="13">
        <f>IFERROR(ROUND(AVERAGE(AP144:AS144),1),"")</f>
        <v/>
      </c>
      <c r="AU144" s="13" t="n">
        <v>7.2</v>
      </c>
      <c r="AV144" s="13" t="n">
        <v>7.4</v>
      </c>
      <c r="AW144" s="13" t="n">
        <v>7.2</v>
      </c>
      <c r="AX144" s="13" t="n">
        <v>7.2</v>
      </c>
      <c r="AY144" s="13">
        <f>IFERROR(ROUND(AVERAGE(AU144:AX144),1),"")</f>
        <v/>
      </c>
      <c r="AZ144" s="13">
        <f>ROUND(0.19*N(Q144)+0.17*N(V144)+0.17*N(AA144)+0.1*N(AF144)+0.09*N(AK144)+0.12*N(AT144)+0.16*N(AY144),1)</f>
        <v/>
      </c>
      <c r="BA144" s="13" t="inlineStr">
        <is>
          <t>128K</t>
        </is>
      </c>
      <c r="BB144" s="13" t="n"/>
      <c r="BC144" s="13" t="inlineStr"/>
      <c r="BD144" s="13" t="inlineStr"/>
      <c r="BE144" s="13" t="inlineStr">
        <is>
          <t>high</t>
        </is>
      </c>
      <c r="BF144" s="13" t="n">
        <v>4</v>
      </c>
      <c r="BG144" s="13" t="n">
        <v>3</v>
      </c>
      <c r="BH144" s="13" t="inlineStr">
        <is>
          <t>General chat + long context, cheap</t>
        </is>
      </c>
      <c r="BI144" s="13" t="inlineStr"/>
      <c r="BJ144" s="15" t="inlineStr">
        <is>
          <t>M</t>
        </is>
      </c>
      <c r="BK144" s="13" t="inlineStr">
        <is>
          <t>Prior DeepSeek; family-inherited estimate (scaled from flagship); verify before HIGH-stakes routing</t>
        </is>
      </c>
      <c r="BL144" s="13" t="inlineStr">
        <is>
          <t>2026-06-07</t>
        </is>
      </c>
    </row>
    <row r="145">
      <c r="A145" s="13" t="inlineStr">
        <is>
          <t>deepseek-v3-1</t>
        </is>
      </c>
      <c r="B145" s="13" t="inlineStr">
        <is>
          <t>DeepSeek V3.1</t>
        </is>
      </c>
      <c r="C145" s="13" t="inlineStr">
        <is>
          <t>DeepSeek</t>
        </is>
      </c>
      <c r="D145" s="13" t="inlineStr">
        <is>
          <t>DeepSeek V3</t>
        </is>
      </c>
      <c r="E145" s="13" t="inlineStr">
        <is>
          <t>v3.1</t>
        </is>
      </c>
      <c r="F145" s="13" t="inlineStr">
        <is>
          <t>Legacy</t>
        </is>
      </c>
      <c r="G145" s="13" t="inlineStr">
        <is>
          <t>General/long-ctx</t>
        </is>
      </c>
      <c r="H145" s="13" t="inlineStr">
        <is>
          <t>Together AI</t>
        </is>
      </c>
      <c r="I145" s="13" t="inlineStr">
        <is>
          <t>Aggregator</t>
        </is>
      </c>
      <c r="J145" s="13" t="inlineStr">
        <is>
          <t>Not-keyed</t>
        </is>
      </c>
      <c r="K145" s="13" t="inlineStr">
        <is>
          <t>metered (not configured)</t>
        </is>
      </c>
      <c r="L145" s="13" t="inlineStr">
        <is>
          <t>No</t>
        </is>
      </c>
      <c r="M145" s="13" t="n">
        <v>7.8</v>
      </c>
      <c r="N145" s="13" t="n">
        <v>7.4</v>
      </c>
      <c r="O145" s="13" t="n">
        <v>7.2</v>
      </c>
      <c r="P145" s="13" t="n">
        <v>7.4</v>
      </c>
      <c r="Q145" s="13">
        <f>IFERROR(ROUND(AVERAGE(M145:P145),1),"")</f>
        <v/>
      </c>
      <c r="R145" s="13" t="n">
        <v>7.6</v>
      </c>
      <c r="S145" s="13" t="n">
        <v>7</v>
      </c>
      <c r="T145" s="13" t="n">
        <v>7</v>
      </c>
      <c r="U145" s="13" t="n">
        <v>7.6</v>
      </c>
      <c r="V145" s="13">
        <f>IFERROR(ROUND(AVERAGE(R145:U145),1),"")</f>
        <v/>
      </c>
      <c r="W145" s="13" t="n">
        <v>7.2</v>
      </c>
      <c r="X145" s="13" t="n">
        <v>7</v>
      </c>
      <c r="Y145" s="13" t="n">
        <v>6.6</v>
      </c>
      <c r="Z145" s="13" t="n">
        <v>7.4</v>
      </c>
      <c r="AA145" s="13">
        <f>IFERROR(ROUND(AVERAGE(W145:Z145),1),"")</f>
        <v/>
      </c>
      <c r="AB145" s="13" t="n">
        <v>7.4</v>
      </c>
      <c r="AC145" s="13" t="n">
        <v>7.4</v>
      </c>
      <c r="AD145" s="13" t="n">
        <v>7.2</v>
      </c>
      <c r="AE145" s="13" t="n">
        <v>7.2</v>
      </c>
      <c r="AF145" s="13">
        <f>IFERROR(ROUND(AVERAGE(AB145:AE145),1),"")</f>
        <v/>
      </c>
      <c r="AG145" s="13" t="n">
        <v>7</v>
      </c>
      <c r="AH145" s="13" t="n">
        <v>6.4</v>
      </c>
      <c r="AI145" s="13" t="n">
        <v>7.4</v>
      </c>
      <c r="AJ145" s="13" t="n">
        <v>7.2</v>
      </c>
      <c r="AK145" s="13">
        <f>IFERROR(ROUND(AVERAGE(AG145:AJ145),1),"")</f>
        <v/>
      </c>
      <c r="AL145" s="13" t="inlineStr"/>
      <c r="AM145" s="13" t="inlineStr"/>
      <c r="AN145" s="13" t="inlineStr"/>
      <c r="AO145" s="13">
        <f>IFERROR(ROUND(AVERAGE(AL145:AN145),1),"")</f>
        <v/>
      </c>
      <c r="AP145" s="13" t="n">
        <v>7.5</v>
      </c>
      <c r="AQ145" s="13" t="n">
        <v>7.5</v>
      </c>
      <c r="AR145" s="13" t="n">
        <v>9</v>
      </c>
      <c r="AS145" s="13" t="n">
        <v>9.199999999999999</v>
      </c>
      <c r="AT145" s="13">
        <f>IFERROR(ROUND(AVERAGE(AP145:AS145),1),"")</f>
        <v/>
      </c>
      <c r="AU145" s="13" t="n">
        <v>7.2</v>
      </c>
      <c r="AV145" s="13" t="n">
        <v>7.4</v>
      </c>
      <c r="AW145" s="13" t="n">
        <v>7.2</v>
      </c>
      <c r="AX145" s="13" t="n">
        <v>7.2</v>
      </c>
      <c r="AY145" s="13">
        <f>IFERROR(ROUND(AVERAGE(AU145:AX145),1),"")</f>
        <v/>
      </c>
      <c r="AZ145" s="13">
        <f>ROUND(0.19*N(Q145)+0.17*N(V145)+0.17*N(AA145)+0.1*N(AF145)+0.09*N(AK145)+0.12*N(AT145)+0.16*N(AY145),1)</f>
        <v/>
      </c>
      <c r="BA145" s="13" t="inlineStr">
        <is>
          <t>128K</t>
        </is>
      </c>
      <c r="BB145" s="13" t="n"/>
      <c r="BC145" s="13" t="inlineStr"/>
      <c r="BD145" s="13" t="inlineStr"/>
      <c r="BE145" s="13" t="inlineStr">
        <is>
          <t>high</t>
        </is>
      </c>
      <c r="BF145" s="13" t="n">
        <v>4</v>
      </c>
      <c r="BG145" s="13" t="n">
        <v>3</v>
      </c>
      <c r="BH145" s="13" t="inlineStr">
        <is>
          <t>General chat + long context, cheap</t>
        </is>
      </c>
      <c r="BI145" s="13" t="inlineStr"/>
      <c r="BJ145" s="15" t="inlineStr">
        <is>
          <t>M</t>
        </is>
      </c>
      <c r="BK145" s="13" t="inlineStr">
        <is>
          <t>Prior DeepSeek; family-inherited estimate (scaled from flagship); verify before HIGH-stakes routing</t>
        </is>
      </c>
      <c r="BL145" s="13" t="inlineStr">
        <is>
          <t>2026-06-07</t>
        </is>
      </c>
    </row>
    <row r="146">
      <c r="A146" s="13" t="inlineStr">
        <is>
          <t>deepseek-v3-1</t>
        </is>
      </c>
      <c r="B146" s="13" t="inlineStr">
        <is>
          <t>DeepSeek V3.1</t>
        </is>
      </c>
      <c r="C146" s="13" t="inlineStr">
        <is>
          <t>DeepSeek</t>
        </is>
      </c>
      <c r="D146" s="13" t="inlineStr">
        <is>
          <t>DeepSeek V3</t>
        </is>
      </c>
      <c r="E146" s="13" t="inlineStr">
        <is>
          <t>v3.1</t>
        </is>
      </c>
      <c r="F146" s="13" t="inlineStr">
        <is>
          <t>Legacy</t>
        </is>
      </c>
      <c r="G146" s="13" t="inlineStr">
        <is>
          <t>General/long-ctx</t>
        </is>
      </c>
      <c r="H146" s="13" t="inlineStr">
        <is>
          <t>OpenRouter</t>
        </is>
      </c>
      <c r="I146" s="13" t="inlineStr">
        <is>
          <t>Aggregator</t>
        </is>
      </c>
      <c r="J146" s="13" t="inlineStr">
        <is>
          <t>Not-keyed</t>
        </is>
      </c>
      <c r="K146" s="13" t="inlineStr">
        <is>
          <t>metered (not configured)</t>
        </is>
      </c>
      <c r="L146" s="13" t="inlineStr">
        <is>
          <t>No</t>
        </is>
      </c>
      <c r="M146" s="13" t="n">
        <v>7.8</v>
      </c>
      <c r="N146" s="13" t="n">
        <v>7.4</v>
      </c>
      <c r="O146" s="13" t="n">
        <v>7.2</v>
      </c>
      <c r="P146" s="13" t="n">
        <v>7.4</v>
      </c>
      <c r="Q146" s="13">
        <f>IFERROR(ROUND(AVERAGE(M146:P146),1),"")</f>
        <v/>
      </c>
      <c r="R146" s="13" t="n">
        <v>7.6</v>
      </c>
      <c r="S146" s="13" t="n">
        <v>7</v>
      </c>
      <c r="T146" s="13" t="n">
        <v>7</v>
      </c>
      <c r="U146" s="13" t="n">
        <v>7.6</v>
      </c>
      <c r="V146" s="13">
        <f>IFERROR(ROUND(AVERAGE(R146:U146),1),"")</f>
        <v/>
      </c>
      <c r="W146" s="13" t="n">
        <v>7.2</v>
      </c>
      <c r="X146" s="13" t="n">
        <v>7</v>
      </c>
      <c r="Y146" s="13" t="n">
        <v>6.6</v>
      </c>
      <c r="Z146" s="13" t="n">
        <v>7.4</v>
      </c>
      <c r="AA146" s="13">
        <f>IFERROR(ROUND(AVERAGE(W146:Z146),1),"")</f>
        <v/>
      </c>
      <c r="AB146" s="13" t="n">
        <v>7.4</v>
      </c>
      <c r="AC146" s="13" t="n">
        <v>7.4</v>
      </c>
      <c r="AD146" s="13" t="n">
        <v>7.2</v>
      </c>
      <c r="AE146" s="13" t="n">
        <v>7.2</v>
      </c>
      <c r="AF146" s="13">
        <f>IFERROR(ROUND(AVERAGE(AB146:AE146),1),"")</f>
        <v/>
      </c>
      <c r="AG146" s="13" t="n">
        <v>7</v>
      </c>
      <c r="AH146" s="13" t="n">
        <v>6.4</v>
      </c>
      <c r="AI146" s="13" t="n">
        <v>7.4</v>
      </c>
      <c r="AJ146" s="13" t="n">
        <v>7.2</v>
      </c>
      <c r="AK146" s="13">
        <f>IFERROR(ROUND(AVERAGE(AG146:AJ146),1),"")</f>
        <v/>
      </c>
      <c r="AL146" s="13" t="inlineStr"/>
      <c r="AM146" s="13" t="inlineStr"/>
      <c r="AN146" s="13" t="inlineStr"/>
      <c r="AO146" s="13">
        <f>IFERROR(ROUND(AVERAGE(AL146:AN146),1),"")</f>
        <v/>
      </c>
      <c r="AP146" s="13" t="n">
        <v>7.5</v>
      </c>
      <c r="AQ146" s="13" t="n">
        <v>7.5</v>
      </c>
      <c r="AR146" s="13" t="n">
        <v>9</v>
      </c>
      <c r="AS146" s="13" t="n">
        <v>9.199999999999999</v>
      </c>
      <c r="AT146" s="13">
        <f>IFERROR(ROUND(AVERAGE(AP146:AS146),1),"")</f>
        <v/>
      </c>
      <c r="AU146" s="13" t="n">
        <v>7.2</v>
      </c>
      <c r="AV146" s="13" t="n">
        <v>7.4</v>
      </c>
      <c r="AW146" s="13" t="n">
        <v>7.2</v>
      </c>
      <c r="AX146" s="13" t="n">
        <v>7.2</v>
      </c>
      <c r="AY146" s="13">
        <f>IFERROR(ROUND(AVERAGE(AU146:AX146),1),"")</f>
        <v/>
      </c>
      <c r="AZ146" s="13">
        <f>ROUND(0.19*N(Q146)+0.17*N(V146)+0.17*N(AA146)+0.1*N(AF146)+0.09*N(AK146)+0.12*N(AT146)+0.16*N(AY146),1)</f>
        <v/>
      </c>
      <c r="BA146" s="13" t="inlineStr">
        <is>
          <t>128K</t>
        </is>
      </c>
      <c r="BB146" s="13" t="n"/>
      <c r="BC146" s="13" t="inlineStr"/>
      <c r="BD146" s="13" t="inlineStr"/>
      <c r="BE146" s="13" t="inlineStr">
        <is>
          <t>high</t>
        </is>
      </c>
      <c r="BF146" s="13" t="n">
        <v>4</v>
      </c>
      <c r="BG146" s="13" t="n">
        <v>3</v>
      </c>
      <c r="BH146" s="13" t="inlineStr">
        <is>
          <t>General chat + long context, cheap</t>
        </is>
      </c>
      <c r="BI146" s="13" t="inlineStr"/>
      <c r="BJ146" s="15" t="inlineStr">
        <is>
          <t>M</t>
        </is>
      </c>
      <c r="BK146" s="13" t="inlineStr">
        <is>
          <t>Prior DeepSeek; family-inherited estimate (scaled from flagship); verify before HIGH-stakes routing</t>
        </is>
      </c>
      <c r="BL146" s="13" t="inlineStr">
        <is>
          <t>2026-06-07</t>
        </is>
      </c>
    </row>
    <row r="147">
      <c r="A147" s="13" t="inlineStr">
        <is>
          <t>deepseek-r1</t>
        </is>
      </c>
      <c r="B147" s="13" t="inlineStr">
        <is>
          <t>DeepSeek R1</t>
        </is>
      </c>
      <c r="C147" s="13" t="inlineStr">
        <is>
          <t>DeepSeek</t>
        </is>
      </c>
      <c r="D147" s="13" t="inlineStr">
        <is>
          <t>DeepSeek R1</t>
        </is>
      </c>
      <c r="E147" s="13" t="inlineStr">
        <is>
          <t>r1</t>
        </is>
      </c>
      <c r="F147" s="13" t="inlineStr">
        <is>
          <t>Legacy</t>
        </is>
      </c>
      <c r="G147" s="13" t="inlineStr">
        <is>
          <t>Reasoning (open)</t>
        </is>
      </c>
      <c r="H147" s="13" t="inlineStr">
        <is>
          <t>DeepSeek API</t>
        </is>
      </c>
      <c r="I147" s="13" t="inlineStr">
        <is>
          <t>HTTP API</t>
        </is>
      </c>
      <c r="J147" s="13" t="inlineStr">
        <is>
          <t>Not-keyed</t>
        </is>
      </c>
      <c r="K147" s="13" t="inlineStr">
        <is>
          <t>metered (not configured)</t>
        </is>
      </c>
      <c r="L147" s="13" t="inlineStr">
        <is>
          <t>No</t>
        </is>
      </c>
      <c r="M147" s="13" t="n">
        <v>8.4</v>
      </c>
      <c r="N147" s="13" t="n">
        <v>8.6</v>
      </c>
      <c r="O147" s="13" t="n">
        <v>7.8</v>
      </c>
      <c r="P147" s="13" t="n">
        <v>7.8</v>
      </c>
      <c r="Q147" s="13">
        <f>IFERROR(ROUND(AVERAGE(M147:P147),1),"")</f>
        <v/>
      </c>
      <c r="R147" s="13" t="n">
        <v>7.8</v>
      </c>
      <c r="S147" s="13" t="n">
        <v>7.4</v>
      </c>
      <c r="T147" s="13" t="n">
        <v>7.2</v>
      </c>
      <c r="U147" s="13" t="n">
        <v>7.8</v>
      </c>
      <c r="V147" s="13">
        <f>IFERROR(ROUND(AVERAGE(R147:U147),1),"")</f>
        <v/>
      </c>
      <c r="W147" s="13" t="n">
        <v>7.4</v>
      </c>
      <c r="X147" s="13" t="n">
        <v>7.4</v>
      </c>
      <c r="Y147" s="13" t="n">
        <v>6.8</v>
      </c>
      <c r="Z147" s="13" t="n">
        <v>7.6</v>
      </c>
      <c r="AA147" s="13">
        <f>IFERROR(ROUND(AVERAGE(W147:Z147),1),"")</f>
        <v/>
      </c>
      <c r="AB147" s="13" t="n">
        <v>7.4</v>
      </c>
      <c r="AC147" s="13" t="n">
        <v>7.4</v>
      </c>
      <c r="AD147" s="13" t="n">
        <v>7.2</v>
      </c>
      <c r="AE147" s="13" t="n">
        <v>7.2</v>
      </c>
      <c r="AF147" s="13">
        <f>IFERROR(ROUND(AVERAGE(AB147:AE147),1),"")</f>
        <v/>
      </c>
      <c r="AG147" s="13" t="n">
        <v>7.6</v>
      </c>
      <c r="AH147" s="13" t="n">
        <v>7.2</v>
      </c>
      <c r="AI147" s="13" t="n">
        <v>7.6</v>
      </c>
      <c r="AJ147" s="13" t="n">
        <v>8</v>
      </c>
      <c r="AK147" s="13">
        <f>IFERROR(ROUND(AVERAGE(AG147:AJ147),1),"")</f>
        <v/>
      </c>
      <c r="AL147" s="13" t="inlineStr"/>
      <c r="AM147" s="13" t="inlineStr"/>
      <c r="AN147" s="13" t="inlineStr"/>
      <c r="AO147" s="13">
        <f>IFERROR(ROUND(AVERAGE(AL147:AN147),1),"")</f>
        <v/>
      </c>
      <c r="AP147" s="13" t="n">
        <v>6.5</v>
      </c>
      <c r="AQ147" s="13" t="n">
        <v>6</v>
      </c>
      <c r="AR147" s="13" t="n">
        <v>8</v>
      </c>
      <c r="AS147" s="13" t="n">
        <v>9</v>
      </c>
      <c r="AT147" s="13">
        <f>IFERROR(ROUND(AVERAGE(AP147:AS147),1),"")</f>
        <v/>
      </c>
      <c r="AU147" s="13" t="n">
        <v>7.2</v>
      </c>
      <c r="AV147" s="13" t="n">
        <v>7.4</v>
      </c>
      <c r="AW147" s="13" t="n">
        <v>7</v>
      </c>
      <c r="AX147" s="13" t="n">
        <v>7.2</v>
      </c>
      <c r="AY147" s="13">
        <f>IFERROR(ROUND(AVERAGE(AU147:AX147),1),"")</f>
        <v/>
      </c>
      <c r="AZ147" s="13">
        <f>ROUND(0.19*N(Q147)+0.17*N(V147)+0.17*N(AA147)+0.1*N(AF147)+0.09*N(AK147)+0.12*N(AT147)+0.16*N(AY147),1)</f>
        <v/>
      </c>
      <c r="BA147" s="13" t="inlineStr">
        <is>
          <t>128K</t>
        </is>
      </c>
      <c r="BB147" s="13" t="n"/>
      <c r="BC147" s="13" t="inlineStr"/>
      <c r="BD147" s="13" t="inlineStr"/>
      <c r="BE147" s="13" t="inlineStr">
        <is>
          <t>high</t>
        </is>
      </c>
      <c r="BF147" s="13" t="n">
        <v>4</v>
      </c>
      <c r="BG147" s="13" t="n">
        <v>3</v>
      </c>
      <c r="BH147" s="13" t="inlineStr">
        <is>
          <t>Open multi-step reasoning; distills run locally</t>
        </is>
      </c>
      <c r="BI147" s="13" t="inlineStr"/>
      <c r="BJ147" s="15" t="inlineStr">
        <is>
          <t>M</t>
        </is>
      </c>
      <c r="BK147" s="13" t="inlineStr">
        <is>
          <t>Open reasoning model; R1-distill local; family-inherited estimate (scaled from flagship); verify before HIGH-stakes routing</t>
        </is>
      </c>
      <c r="BL147" s="13" t="inlineStr">
        <is>
          <t>2026-06-07</t>
        </is>
      </c>
    </row>
    <row r="148">
      <c r="A148" s="13" t="inlineStr">
        <is>
          <t>deepseek-r1</t>
        </is>
      </c>
      <c r="B148" s="13" t="inlineStr">
        <is>
          <t>DeepSeek R1</t>
        </is>
      </c>
      <c r="C148" s="13" t="inlineStr">
        <is>
          <t>DeepSeek</t>
        </is>
      </c>
      <c r="D148" s="13" t="inlineStr">
        <is>
          <t>DeepSeek R1</t>
        </is>
      </c>
      <c r="E148" s="13" t="inlineStr">
        <is>
          <t>r1</t>
        </is>
      </c>
      <c r="F148" s="13" t="inlineStr">
        <is>
          <t>Legacy</t>
        </is>
      </c>
      <c r="G148" s="13" t="inlineStr">
        <is>
          <t>Reasoning (open)</t>
        </is>
      </c>
      <c r="H148" s="13" t="inlineStr">
        <is>
          <t>Ollama (local)</t>
        </is>
      </c>
      <c r="I148" s="13" t="inlineStr">
        <is>
          <t>Local</t>
        </is>
      </c>
      <c r="J148" s="13" t="inlineStr">
        <is>
          <t>Running (free)</t>
        </is>
      </c>
      <c r="K148" s="13" t="inlineStr">
        <is>
          <t>local_free</t>
        </is>
      </c>
      <c r="L148" s="13" t="inlineStr">
        <is>
          <t>Yes</t>
        </is>
      </c>
      <c r="M148" s="13" t="n">
        <v>8.4</v>
      </c>
      <c r="N148" s="13" t="n">
        <v>8.6</v>
      </c>
      <c r="O148" s="13" t="n">
        <v>7.8</v>
      </c>
      <c r="P148" s="13" t="n">
        <v>7.8</v>
      </c>
      <c r="Q148" s="13">
        <f>IFERROR(ROUND(AVERAGE(M148:P148),1),"")</f>
        <v/>
      </c>
      <c r="R148" s="13" t="n">
        <v>7.8</v>
      </c>
      <c r="S148" s="13" t="n">
        <v>7.4</v>
      </c>
      <c r="T148" s="13" t="n">
        <v>7.2</v>
      </c>
      <c r="U148" s="13" t="n">
        <v>7.8</v>
      </c>
      <c r="V148" s="13">
        <f>IFERROR(ROUND(AVERAGE(R148:U148),1),"")</f>
        <v/>
      </c>
      <c r="W148" s="13" t="n">
        <v>7.4</v>
      </c>
      <c r="X148" s="13" t="n">
        <v>7.4</v>
      </c>
      <c r="Y148" s="13" t="n">
        <v>6.8</v>
      </c>
      <c r="Z148" s="13" t="n">
        <v>7.6</v>
      </c>
      <c r="AA148" s="13">
        <f>IFERROR(ROUND(AVERAGE(W148:Z148),1),"")</f>
        <v/>
      </c>
      <c r="AB148" s="13" t="n">
        <v>7.4</v>
      </c>
      <c r="AC148" s="13" t="n">
        <v>7.4</v>
      </c>
      <c r="AD148" s="13" t="n">
        <v>7.2</v>
      </c>
      <c r="AE148" s="13" t="n">
        <v>7.2</v>
      </c>
      <c r="AF148" s="13">
        <f>IFERROR(ROUND(AVERAGE(AB148:AE148),1),"")</f>
        <v/>
      </c>
      <c r="AG148" s="13" t="n">
        <v>7.6</v>
      </c>
      <c r="AH148" s="13" t="n">
        <v>7.2</v>
      </c>
      <c r="AI148" s="13" t="n">
        <v>7.6</v>
      </c>
      <c r="AJ148" s="13" t="n">
        <v>8</v>
      </c>
      <c r="AK148" s="13">
        <f>IFERROR(ROUND(AVERAGE(AG148:AJ148),1),"")</f>
        <v/>
      </c>
      <c r="AL148" s="13" t="inlineStr"/>
      <c r="AM148" s="13" t="inlineStr"/>
      <c r="AN148" s="13" t="inlineStr"/>
      <c r="AO148" s="13">
        <f>IFERROR(ROUND(AVERAGE(AL148:AN148),1),"")</f>
        <v/>
      </c>
      <c r="AP148" s="13" t="n">
        <v>6.5</v>
      </c>
      <c r="AQ148" s="13" t="n">
        <v>6</v>
      </c>
      <c r="AR148" s="13" t="n">
        <v>8</v>
      </c>
      <c r="AS148" s="13" t="n">
        <v>9</v>
      </c>
      <c r="AT148" s="13">
        <f>IFERROR(ROUND(AVERAGE(AP148:AS148),1),"")</f>
        <v/>
      </c>
      <c r="AU148" s="13" t="n">
        <v>7.2</v>
      </c>
      <c r="AV148" s="13" t="n">
        <v>7.4</v>
      </c>
      <c r="AW148" s="13" t="n">
        <v>7</v>
      </c>
      <c r="AX148" s="13" t="n">
        <v>7.2</v>
      </c>
      <c r="AY148" s="13">
        <f>IFERROR(ROUND(AVERAGE(AU148:AX148),1),"")</f>
        <v/>
      </c>
      <c r="AZ148" s="13">
        <f>ROUND(0.19*N(Q148)+0.17*N(V148)+0.17*N(AA148)+0.1*N(AF148)+0.09*N(AK148)+0.12*N(AT148)+0.16*N(AY148),1)</f>
        <v/>
      </c>
      <c r="BA148" s="13" t="inlineStr">
        <is>
          <t>128K</t>
        </is>
      </c>
      <c r="BB148" s="13" t="n"/>
      <c r="BC148" s="13" t="inlineStr"/>
      <c r="BD148" s="13" t="inlineStr"/>
      <c r="BE148" s="13" t="inlineStr">
        <is>
          <t>high</t>
        </is>
      </c>
      <c r="BF148" s="13" t="n">
        <v>4</v>
      </c>
      <c r="BG148" s="13" t="n">
        <v>3</v>
      </c>
      <c r="BH148" s="13" t="inlineStr">
        <is>
          <t>Open multi-step reasoning; distills run locally</t>
        </is>
      </c>
      <c r="BI148" s="13" t="inlineStr"/>
      <c r="BJ148" s="15" t="inlineStr">
        <is>
          <t>M</t>
        </is>
      </c>
      <c r="BK148" s="13" t="inlineStr">
        <is>
          <t>Open reasoning model; R1-distill local; family-inherited estimate (scaled from flagship); verify before HIGH-stakes routing</t>
        </is>
      </c>
      <c r="BL148" s="13" t="inlineStr">
        <is>
          <t>2026-06-07</t>
        </is>
      </c>
    </row>
    <row r="149">
      <c r="A149" s="13" t="inlineStr">
        <is>
          <t>deepseek-r1</t>
        </is>
      </c>
      <c r="B149" s="13" t="inlineStr">
        <is>
          <t>DeepSeek R1</t>
        </is>
      </c>
      <c r="C149" s="13" t="inlineStr">
        <is>
          <t>DeepSeek</t>
        </is>
      </c>
      <c r="D149" s="13" t="inlineStr">
        <is>
          <t>DeepSeek R1</t>
        </is>
      </c>
      <c r="E149" s="13" t="inlineStr">
        <is>
          <t>r1</t>
        </is>
      </c>
      <c r="F149" s="13" t="inlineStr">
        <is>
          <t>Legacy</t>
        </is>
      </c>
      <c r="G149" s="13" t="inlineStr">
        <is>
          <t>Reasoning (open)</t>
        </is>
      </c>
      <c r="H149" s="13" t="inlineStr">
        <is>
          <t>Groq</t>
        </is>
      </c>
      <c r="I149" s="13" t="inlineStr">
        <is>
          <t>Aggregator</t>
        </is>
      </c>
      <c r="J149" s="13" t="inlineStr">
        <is>
          <t>Not-keyed</t>
        </is>
      </c>
      <c r="K149" s="13" t="inlineStr">
        <is>
          <t>metered (not configured)</t>
        </is>
      </c>
      <c r="L149" s="13" t="inlineStr">
        <is>
          <t>No</t>
        </is>
      </c>
      <c r="M149" s="13" t="n">
        <v>8.4</v>
      </c>
      <c r="N149" s="13" t="n">
        <v>8.6</v>
      </c>
      <c r="O149" s="13" t="n">
        <v>7.8</v>
      </c>
      <c r="P149" s="13" t="n">
        <v>7.8</v>
      </c>
      <c r="Q149" s="13">
        <f>IFERROR(ROUND(AVERAGE(M149:P149),1),"")</f>
        <v/>
      </c>
      <c r="R149" s="13" t="n">
        <v>7.8</v>
      </c>
      <c r="S149" s="13" t="n">
        <v>7.4</v>
      </c>
      <c r="T149" s="13" t="n">
        <v>7.2</v>
      </c>
      <c r="U149" s="13" t="n">
        <v>7.8</v>
      </c>
      <c r="V149" s="13">
        <f>IFERROR(ROUND(AVERAGE(R149:U149),1),"")</f>
        <v/>
      </c>
      <c r="W149" s="13" t="n">
        <v>7.4</v>
      </c>
      <c r="X149" s="13" t="n">
        <v>7.4</v>
      </c>
      <c r="Y149" s="13" t="n">
        <v>6.8</v>
      </c>
      <c r="Z149" s="13" t="n">
        <v>7.6</v>
      </c>
      <c r="AA149" s="13">
        <f>IFERROR(ROUND(AVERAGE(W149:Z149),1),"")</f>
        <v/>
      </c>
      <c r="AB149" s="13" t="n">
        <v>7.4</v>
      </c>
      <c r="AC149" s="13" t="n">
        <v>7.4</v>
      </c>
      <c r="AD149" s="13" t="n">
        <v>7.2</v>
      </c>
      <c r="AE149" s="13" t="n">
        <v>7.2</v>
      </c>
      <c r="AF149" s="13">
        <f>IFERROR(ROUND(AVERAGE(AB149:AE149),1),"")</f>
        <v/>
      </c>
      <c r="AG149" s="13" t="n">
        <v>7.6</v>
      </c>
      <c r="AH149" s="13" t="n">
        <v>7.2</v>
      </c>
      <c r="AI149" s="13" t="n">
        <v>7.6</v>
      </c>
      <c r="AJ149" s="13" t="n">
        <v>8</v>
      </c>
      <c r="AK149" s="13">
        <f>IFERROR(ROUND(AVERAGE(AG149:AJ149),1),"")</f>
        <v/>
      </c>
      <c r="AL149" s="13" t="inlineStr"/>
      <c r="AM149" s="13" t="inlineStr"/>
      <c r="AN149" s="13" t="inlineStr"/>
      <c r="AO149" s="13">
        <f>IFERROR(ROUND(AVERAGE(AL149:AN149),1),"")</f>
        <v/>
      </c>
      <c r="AP149" s="13" t="n">
        <v>6.5</v>
      </c>
      <c r="AQ149" s="13" t="n">
        <v>6</v>
      </c>
      <c r="AR149" s="13" t="n">
        <v>8</v>
      </c>
      <c r="AS149" s="13" t="n">
        <v>9</v>
      </c>
      <c r="AT149" s="13">
        <f>IFERROR(ROUND(AVERAGE(AP149:AS149),1),"")</f>
        <v/>
      </c>
      <c r="AU149" s="13" t="n">
        <v>7.2</v>
      </c>
      <c r="AV149" s="13" t="n">
        <v>7.4</v>
      </c>
      <c r="AW149" s="13" t="n">
        <v>7</v>
      </c>
      <c r="AX149" s="13" t="n">
        <v>7.2</v>
      </c>
      <c r="AY149" s="13">
        <f>IFERROR(ROUND(AVERAGE(AU149:AX149),1),"")</f>
        <v/>
      </c>
      <c r="AZ149" s="13">
        <f>ROUND(0.19*N(Q149)+0.17*N(V149)+0.17*N(AA149)+0.1*N(AF149)+0.09*N(AK149)+0.12*N(AT149)+0.16*N(AY149),1)</f>
        <v/>
      </c>
      <c r="BA149" s="13" t="inlineStr">
        <is>
          <t>128K</t>
        </is>
      </c>
      <c r="BB149" s="13" t="n"/>
      <c r="BC149" s="13" t="inlineStr"/>
      <c r="BD149" s="13" t="inlineStr"/>
      <c r="BE149" s="13" t="inlineStr">
        <is>
          <t>high</t>
        </is>
      </c>
      <c r="BF149" s="13" t="n">
        <v>4</v>
      </c>
      <c r="BG149" s="13" t="n">
        <v>3</v>
      </c>
      <c r="BH149" s="13" t="inlineStr">
        <is>
          <t>Open multi-step reasoning; distills run locally</t>
        </is>
      </c>
      <c r="BI149" s="13" t="inlineStr"/>
      <c r="BJ149" s="15" t="inlineStr">
        <is>
          <t>M</t>
        </is>
      </c>
      <c r="BK149" s="13" t="inlineStr">
        <is>
          <t>Open reasoning model; R1-distill local; family-inherited estimate (scaled from flagship); verify before HIGH-stakes routing</t>
        </is>
      </c>
      <c r="BL149" s="13" t="inlineStr">
        <is>
          <t>2026-06-07</t>
        </is>
      </c>
    </row>
    <row r="150">
      <c r="A150" s="13" t="inlineStr">
        <is>
          <t>deepseek-r1</t>
        </is>
      </c>
      <c r="B150" s="13" t="inlineStr">
        <is>
          <t>DeepSeek R1</t>
        </is>
      </c>
      <c r="C150" s="13" t="inlineStr">
        <is>
          <t>DeepSeek</t>
        </is>
      </c>
      <c r="D150" s="13" t="inlineStr">
        <is>
          <t>DeepSeek R1</t>
        </is>
      </c>
      <c r="E150" s="13" t="inlineStr">
        <is>
          <t>r1</t>
        </is>
      </c>
      <c r="F150" s="13" t="inlineStr">
        <is>
          <t>Legacy</t>
        </is>
      </c>
      <c r="G150" s="13" t="inlineStr">
        <is>
          <t>Reasoning (open)</t>
        </is>
      </c>
      <c r="H150" s="13" t="inlineStr">
        <is>
          <t>GitHub Models (AI Toolkit)</t>
        </is>
      </c>
      <c r="I150" s="13" t="inlineStr">
        <is>
          <t>Aggregator</t>
        </is>
      </c>
      <c r="J150" s="13" t="inlineStr">
        <is>
          <t>Configured</t>
        </is>
      </c>
      <c r="K150" s="13" t="inlineStr">
        <is>
          <t>subscription_included</t>
        </is>
      </c>
      <c r="L150" s="13" t="inlineStr">
        <is>
          <t>No</t>
        </is>
      </c>
      <c r="M150" s="13" t="n">
        <v>8.4</v>
      </c>
      <c r="N150" s="13" t="n">
        <v>8.6</v>
      </c>
      <c r="O150" s="13" t="n">
        <v>7.8</v>
      </c>
      <c r="P150" s="13" t="n">
        <v>7.8</v>
      </c>
      <c r="Q150" s="13">
        <f>IFERROR(ROUND(AVERAGE(M150:P150),1),"")</f>
        <v/>
      </c>
      <c r="R150" s="13" t="n">
        <v>7.8</v>
      </c>
      <c r="S150" s="13" t="n">
        <v>7.4</v>
      </c>
      <c r="T150" s="13" t="n">
        <v>7.2</v>
      </c>
      <c r="U150" s="13" t="n">
        <v>7.8</v>
      </c>
      <c r="V150" s="13">
        <f>IFERROR(ROUND(AVERAGE(R150:U150),1),"")</f>
        <v/>
      </c>
      <c r="W150" s="13" t="n">
        <v>7.4</v>
      </c>
      <c r="X150" s="13" t="n">
        <v>7.4</v>
      </c>
      <c r="Y150" s="13" t="n">
        <v>6.8</v>
      </c>
      <c r="Z150" s="13" t="n">
        <v>7.6</v>
      </c>
      <c r="AA150" s="13">
        <f>IFERROR(ROUND(AVERAGE(W150:Z150),1),"")</f>
        <v/>
      </c>
      <c r="AB150" s="13" t="n">
        <v>7.4</v>
      </c>
      <c r="AC150" s="13" t="n">
        <v>7.4</v>
      </c>
      <c r="AD150" s="13" t="n">
        <v>7.2</v>
      </c>
      <c r="AE150" s="13" t="n">
        <v>7.2</v>
      </c>
      <c r="AF150" s="13">
        <f>IFERROR(ROUND(AVERAGE(AB150:AE150),1),"")</f>
        <v/>
      </c>
      <c r="AG150" s="13" t="n">
        <v>7.6</v>
      </c>
      <c r="AH150" s="13" t="n">
        <v>7.2</v>
      </c>
      <c r="AI150" s="13" t="n">
        <v>7.6</v>
      </c>
      <c r="AJ150" s="13" t="n">
        <v>8</v>
      </c>
      <c r="AK150" s="13">
        <f>IFERROR(ROUND(AVERAGE(AG150:AJ150),1),"")</f>
        <v/>
      </c>
      <c r="AL150" s="13" t="inlineStr"/>
      <c r="AM150" s="13" t="inlineStr"/>
      <c r="AN150" s="13" t="inlineStr"/>
      <c r="AO150" s="13">
        <f>IFERROR(ROUND(AVERAGE(AL150:AN150),1),"")</f>
        <v/>
      </c>
      <c r="AP150" s="13" t="n">
        <v>6.5</v>
      </c>
      <c r="AQ150" s="13" t="n">
        <v>6</v>
      </c>
      <c r="AR150" s="13" t="n">
        <v>8</v>
      </c>
      <c r="AS150" s="13" t="n">
        <v>9</v>
      </c>
      <c r="AT150" s="13">
        <f>IFERROR(ROUND(AVERAGE(AP150:AS150),1),"")</f>
        <v/>
      </c>
      <c r="AU150" s="13" t="n">
        <v>7.2</v>
      </c>
      <c r="AV150" s="13" t="n">
        <v>7.4</v>
      </c>
      <c r="AW150" s="13" t="n">
        <v>7</v>
      </c>
      <c r="AX150" s="13" t="n">
        <v>7.2</v>
      </c>
      <c r="AY150" s="13">
        <f>IFERROR(ROUND(AVERAGE(AU150:AX150),1),"")</f>
        <v/>
      </c>
      <c r="AZ150" s="13">
        <f>ROUND(0.19*N(Q150)+0.17*N(V150)+0.17*N(AA150)+0.1*N(AF150)+0.09*N(AK150)+0.12*N(AT150)+0.16*N(AY150),1)</f>
        <v/>
      </c>
      <c r="BA150" s="13" t="inlineStr">
        <is>
          <t>128K</t>
        </is>
      </c>
      <c r="BB150" s="13" t="n"/>
      <c r="BC150" s="13" t="inlineStr"/>
      <c r="BD150" s="13" t="inlineStr"/>
      <c r="BE150" s="13" t="inlineStr">
        <is>
          <t>high</t>
        </is>
      </c>
      <c r="BF150" s="13" t="n">
        <v>4</v>
      </c>
      <c r="BG150" s="13" t="n">
        <v>3</v>
      </c>
      <c r="BH150" s="13" t="inlineStr">
        <is>
          <t>Open multi-step reasoning; distills run locally</t>
        </is>
      </c>
      <c r="BI150" s="13" t="inlineStr"/>
      <c r="BJ150" s="15" t="inlineStr">
        <is>
          <t>M</t>
        </is>
      </c>
      <c r="BK150" s="13" t="inlineStr">
        <is>
          <t>Open reasoning model; R1-distill local; family-inherited estimate (scaled from flagship); verify before HIGH-stakes routing</t>
        </is>
      </c>
      <c r="BL150" s="13" t="inlineStr">
        <is>
          <t>2026-06-07</t>
        </is>
      </c>
    </row>
    <row r="151">
      <c r="A151" s="13" t="inlineStr">
        <is>
          <t>deepseek-r1</t>
        </is>
      </c>
      <c r="B151" s="13" t="inlineStr">
        <is>
          <t>DeepSeek R1</t>
        </is>
      </c>
      <c r="C151" s="13" t="inlineStr">
        <is>
          <t>DeepSeek</t>
        </is>
      </c>
      <c r="D151" s="13" t="inlineStr">
        <is>
          <t>DeepSeek R1</t>
        </is>
      </c>
      <c r="E151" s="13" t="inlineStr">
        <is>
          <t>r1</t>
        </is>
      </c>
      <c r="F151" s="13" t="inlineStr">
        <is>
          <t>Legacy</t>
        </is>
      </c>
      <c r="G151" s="13" t="inlineStr">
        <is>
          <t>Reasoning (open)</t>
        </is>
      </c>
      <c r="H151" s="13" t="inlineStr">
        <is>
          <t>Amazon Bedrock (Kiro)</t>
        </is>
      </c>
      <c r="I151" s="13" t="inlineStr">
        <is>
          <t>Aggregator</t>
        </is>
      </c>
      <c r="J151" s="13" t="inlineStr">
        <is>
          <t>Installed; login unverified</t>
        </is>
      </c>
      <c r="K151" s="13" t="inlineStr">
        <is>
          <t>metered (not configured)</t>
        </is>
      </c>
      <c r="L151" s="13" t="inlineStr">
        <is>
          <t>No</t>
        </is>
      </c>
      <c r="M151" s="13" t="n">
        <v>8.4</v>
      </c>
      <c r="N151" s="13" t="n">
        <v>8.6</v>
      </c>
      <c r="O151" s="13" t="n">
        <v>7.8</v>
      </c>
      <c r="P151" s="13" t="n">
        <v>7.8</v>
      </c>
      <c r="Q151" s="13">
        <f>IFERROR(ROUND(AVERAGE(M151:P151),1),"")</f>
        <v/>
      </c>
      <c r="R151" s="13" t="n">
        <v>7.8</v>
      </c>
      <c r="S151" s="13" t="n">
        <v>7.4</v>
      </c>
      <c r="T151" s="13" t="n">
        <v>7.2</v>
      </c>
      <c r="U151" s="13" t="n">
        <v>7.8</v>
      </c>
      <c r="V151" s="13">
        <f>IFERROR(ROUND(AVERAGE(R151:U151),1),"")</f>
        <v/>
      </c>
      <c r="W151" s="13" t="n">
        <v>7.4</v>
      </c>
      <c r="X151" s="13" t="n">
        <v>7.4</v>
      </c>
      <c r="Y151" s="13" t="n">
        <v>6.8</v>
      </c>
      <c r="Z151" s="13" t="n">
        <v>7.6</v>
      </c>
      <c r="AA151" s="13">
        <f>IFERROR(ROUND(AVERAGE(W151:Z151),1),"")</f>
        <v/>
      </c>
      <c r="AB151" s="13" t="n">
        <v>7.4</v>
      </c>
      <c r="AC151" s="13" t="n">
        <v>7.4</v>
      </c>
      <c r="AD151" s="13" t="n">
        <v>7.2</v>
      </c>
      <c r="AE151" s="13" t="n">
        <v>7.2</v>
      </c>
      <c r="AF151" s="13">
        <f>IFERROR(ROUND(AVERAGE(AB151:AE151),1),"")</f>
        <v/>
      </c>
      <c r="AG151" s="13" t="n">
        <v>7.6</v>
      </c>
      <c r="AH151" s="13" t="n">
        <v>7.2</v>
      </c>
      <c r="AI151" s="13" t="n">
        <v>7.6</v>
      </c>
      <c r="AJ151" s="13" t="n">
        <v>8</v>
      </c>
      <c r="AK151" s="13">
        <f>IFERROR(ROUND(AVERAGE(AG151:AJ151),1),"")</f>
        <v/>
      </c>
      <c r="AL151" s="13" t="inlineStr"/>
      <c r="AM151" s="13" t="inlineStr"/>
      <c r="AN151" s="13" t="inlineStr"/>
      <c r="AO151" s="13">
        <f>IFERROR(ROUND(AVERAGE(AL151:AN151),1),"")</f>
        <v/>
      </c>
      <c r="AP151" s="13" t="n">
        <v>6.5</v>
      </c>
      <c r="AQ151" s="13" t="n">
        <v>6</v>
      </c>
      <c r="AR151" s="13" t="n">
        <v>8</v>
      </c>
      <c r="AS151" s="13" t="n">
        <v>9</v>
      </c>
      <c r="AT151" s="13">
        <f>IFERROR(ROUND(AVERAGE(AP151:AS151),1),"")</f>
        <v/>
      </c>
      <c r="AU151" s="13" t="n">
        <v>7.2</v>
      </c>
      <c r="AV151" s="13" t="n">
        <v>7.4</v>
      </c>
      <c r="AW151" s="13" t="n">
        <v>7</v>
      </c>
      <c r="AX151" s="13" t="n">
        <v>7.2</v>
      </c>
      <c r="AY151" s="13">
        <f>IFERROR(ROUND(AVERAGE(AU151:AX151),1),"")</f>
        <v/>
      </c>
      <c r="AZ151" s="13">
        <f>ROUND(0.19*N(Q151)+0.17*N(V151)+0.17*N(AA151)+0.1*N(AF151)+0.09*N(AK151)+0.12*N(AT151)+0.16*N(AY151),1)</f>
        <v/>
      </c>
      <c r="BA151" s="13" t="inlineStr">
        <is>
          <t>128K</t>
        </is>
      </c>
      <c r="BB151" s="13" t="n"/>
      <c r="BC151" s="13" t="inlineStr"/>
      <c r="BD151" s="13" t="inlineStr"/>
      <c r="BE151" s="13" t="inlineStr">
        <is>
          <t>high</t>
        </is>
      </c>
      <c r="BF151" s="13" t="n">
        <v>4</v>
      </c>
      <c r="BG151" s="13" t="n">
        <v>3</v>
      </c>
      <c r="BH151" s="13" t="inlineStr">
        <is>
          <t>Open multi-step reasoning; distills run locally</t>
        </is>
      </c>
      <c r="BI151" s="13" t="inlineStr"/>
      <c r="BJ151" s="15" t="inlineStr">
        <is>
          <t>M</t>
        </is>
      </c>
      <c r="BK151" s="13" t="inlineStr">
        <is>
          <t>Open reasoning model; R1-distill local; family-inherited estimate (scaled from flagship); verify before HIGH-stakes routing</t>
        </is>
      </c>
      <c r="BL151" s="13" t="inlineStr">
        <is>
          <t>2026-06-07</t>
        </is>
      </c>
    </row>
    <row r="152">
      <c r="A152" s="13" t="inlineStr">
        <is>
          <t>phi-4</t>
        </is>
      </c>
      <c r="B152" s="13" t="inlineStr">
        <is>
          <t>Phi-4</t>
        </is>
      </c>
      <c r="C152" s="13" t="inlineStr">
        <is>
          <t>Microsoft</t>
        </is>
      </c>
      <c r="D152" s="13" t="inlineStr">
        <is>
          <t>Phi-4</t>
        </is>
      </c>
      <c r="E152" s="13" t="inlineStr">
        <is>
          <t>4</t>
        </is>
      </c>
      <c r="F152" s="13" t="inlineStr">
        <is>
          <t>Current</t>
        </is>
      </c>
      <c r="G152" s="13" t="inlineStr">
        <is>
          <t>Small Reasoner</t>
        </is>
      </c>
      <c r="H152" s="13" t="inlineStr">
        <is>
          <t>GitHub Models (AI Toolkit)</t>
        </is>
      </c>
      <c r="I152" s="13" t="inlineStr">
        <is>
          <t>Aggregator</t>
        </is>
      </c>
      <c r="J152" s="13" t="inlineStr">
        <is>
          <t>Configured</t>
        </is>
      </c>
      <c r="K152" s="13" t="inlineStr">
        <is>
          <t>subscription_included</t>
        </is>
      </c>
      <c r="L152" s="13" t="inlineStr">
        <is>
          <t>No</t>
        </is>
      </c>
      <c r="M152" s="13" t="n">
        <v>7.6</v>
      </c>
      <c r="N152" s="13" t="n">
        <v>7.6</v>
      </c>
      <c r="O152" s="13" t="n">
        <v>6.6</v>
      </c>
      <c r="P152" s="13" t="n">
        <v>6.8</v>
      </c>
      <c r="Q152" s="13">
        <f>IFERROR(ROUND(AVERAGE(M152:P152),1),"")</f>
        <v/>
      </c>
      <c r="R152" s="13" t="n">
        <v>7</v>
      </c>
      <c r="S152" s="13" t="n">
        <v>6.2</v>
      </c>
      <c r="T152" s="13" t="n">
        <v>6.4</v>
      </c>
      <c r="U152" s="13" t="n">
        <v>7</v>
      </c>
      <c r="V152" s="13">
        <f>IFERROR(ROUND(AVERAGE(R152:U152),1),"")</f>
        <v/>
      </c>
      <c r="W152" s="13" t="n">
        <v>6.8</v>
      </c>
      <c r="X152" s="13" t="n">
        <v>6.4</v>
      </c>
      <c r="Y152" s="13" t="n">
        <v>5.8</v>
      </c>
      <c r="Z152" s="13" t="n">
        <v>7</v>
      </c>
      <c r="AA152" s="13">
        <f>IFERROR(ROUND(AVERAGE(W152:Z152),1),"")</f>
        <v/>
      </c>
      <c r="AB152" s="13" t="n">
        <v>6.8</v>
      </c>
      <c r="AC152" s="13" t="n">
        <v>6.8</v>
      </c>
      <c r="AD152" s="13" t="n">
        <v>6.8</v>
      </c>
      <c r="AE152" s="13" t="n">
        <v>6.6</v>
      </c>
      <c r="AF152" s="13">
        <f>IFERROR(ROUND(AVERAGE(AB152:AE152),1),"")</f>
        <v/>
      </c>
      <c r="AG152" s="13" t="n">
        <v>6.6</v>
      </c>
      <c r="AH152" s="13" t="n">
        <v>6</v>
      </c>
      <c r="AI152" s="13" t="n">
        <v>7</v>
      </c>
      <c r="AJ152" s="13" t="n">
        <v>7.4</v>
      </c>
      <c r="AK152" s="13">
        <f>IFERROR(ROUND(AVERAGE(AG152:AJ152),1),"")</f>
        <v/>
      </c>
      <c r="AL152" s="13" t="inlineStr"/>
      <c r="AM152" s="13" t="inlineStr"/>
      <c r="AN152" s="13" t="inlineStr"/>
      <c r="AO152" s="13">
        <f>IFERROR(ROUND(AVERAGE(AL152:AN152),1),"")</f>
        <v/>
      </c>
      <c r="AP152" s="13" t="n">
        <v>8.4</v>
      </c>
      <c r="AQ152" s="13" t="n">
        <v>8</v>
      </c>
      <c r="AR152" s="13" t="n">
        <v>4</v>
      </c>
      <c r="AS152" s="13" t="n">
        <v>9</v>
      </c>
      <c r="AT152" s="13">
        <f>IFERROR(ROUND(AVERAGE(AP152:AS152),1),"")</f>
        <v/>
      </c>
      <c r="AU152" s="13" t="n">
        <v>7</v>
      </c>
      <c r="AV152" s="13" t="n">
        <v>7.2</v>
      </c>
      <c r="AW152" s="13" t="n">
        <v>7</v>
      </c>
      <c r="AX152" s="13" t="n">
        <v>7</v>
      </c>
      <c r="AY152" s="13">
        <f>IFERROR(ROUND(AVERAGE(AU152:AX152),1),"")</f>
        <v/>
      </c>
      <c r="AZ152" s="13">
        <f>ROUND(0.19*N(Q152)+0.17*N(V152)+0.17*N(AA152)+0.1*N(AF152)+0.09*N(AK152)+0.12*N(AT152)+0.16*N(AY152),1)</f>
        <v/>
      </c>
      <c r="BA152" s="13" t="inlineStr">
        <is>
          <t>16K</t>
        </is>
      </c>
      <c r="BB152" s="13" t="n"/>
      <c r="BC152" s="13" t="inlineStr"/>
      <c r="BD152" s="13" t="inlineStr"/>
      <c r="BE152" s="13" t="inlineStr">
        <is>
          <t>medium</t>
        </is>
      </c>
      <c r="BF152" s="13" t="n">
        <v>3</v>
      </c>
      <c r="BG152" s="13" t="n">
        <v>3</v>
      </c>
      <c r="BH152" s="13" t="inlineStr">
        <is>
          <t>Strong reasoning/math for size; on-device</t>
        </is>
      </c>
      <c r="BI152" s="13" t="inlineStr">
        <is>
          <t>Long context; agentic autonomy</t>
        </is>
      </c>
      <c r="BJ152" s="15" t="inlineStr">
        <is>
          <t>M</t>
        </is>
      </c>
      <c r="BK152" s="13" t="inlineStr">
        <is>
          <t>Data-efficient SLM; family-inherited estimate (scaled from flagship); verify before HIGH-stakes routing</t>
        </is>
      </c>
      <c r="BL152" s="13" t="inlineStr">
        <is>
          <t>2026-06-07</t>
        </is>
      </c>
    </row>
    <row r="153">
      <c r="A153" s="13" t="inlineStr">
        <is>
          <t>phi-4</t>
        </is>
      </c>
      <c r="B153" s="13" t="inlineStr">
        <is>
          <t>Phi-4</t>
        </is>
      </c>
      <c r="C153" s="13" t="inlineStr">
        <is>
          <t>Microsoft</t>
        </is>
      </c>
      <c r="D153" s="13" t="inlineStr">
        <is>
          <t>Phi-4</t>
        </is>
      </c>
      <c r="E153" s="13" t="inlineStr">
        <is>
          <t>4</t>
        </is>
      </c>
      <c r="F153" s="13" t="inlineStr">
        <is>
          <t>Current</t>
        </is>
      </c>
      <c r="G153" s="13" t="inlineStr">
        <is>
          <t>Small Reasoner</t>
        </is>
      </c>
      <c r="H153" s="13" t="inlineStr">
        <is>
          <t>Azure AI Foundry</t>
        </is>
      </c>
      <c r="I153" s="13" t="inlineStr">
        <is>
          <t>Aggregator</t>
        </is>
      </c>
      <c r="J153" s="13" t="inlineStr">
        <is>
          <t>Not credentialed</t>
        </is>
      </c>
      <c r="K153" s="13" t="inlineStr">
        <is>
          <t>metered (not configured)</t>
        </is>
      </c>
      <c r="L153" s="13" t="inlineStr">
        <is>
          <t>No</t>
        </is>
      </c>
      <c r="M153" s="13" t="n">
        <v>7.6</v>
      </c>
      <c r="N153" s="13" t="n">
        <v>7.6</v>
      </c>
      <c r="O153" s="13" t="n">
        <v>6.6</v>
      </c>
      <c r="P153" s="13" t="n">
        <v>6.8</v>
      </c>
      <c r="Q153" s="13">
        <f>IFERROR(ROUND(AVERAGE(M153:P153),1),"")</f>
        <v/>
      </c>
      <c r="R153" s="13" t="n">
        <v>7</v>
      </c>
      <c r="S153" s="13" t="n">
        <v>6.2</v>
      </c>
      <c r="T153" s="13" t="n">
        <v>6.4</v>
      </c>
      <c r="U153" s="13" t="n">
        <v>7</v>
      </c>
      <c r="V153" s="13">
        <f>IFERROR(ROUND(AVERAGE(R153:U153),1),"")</f>
        <v/>
      </c>
      <c r="W153" s="13" t="n">
        <v>6.8</v>
      </c>
      <c r="X153" s="13" t="n">
        <v>6.4</v>
      </c>
      <c r="Y153" s="13" t="n">
        <v>5.8</v>
      </c>
      <c r="Z153" s="13" t="n">
        <v>7</v>
      </c>
      <c r="AA153" s="13">
        <f>IFERROR(ROUND(AVERAGE(W153:Z153),1),"")</f>
        <v/>
      </c>
      <c r="AB153" s="13" t="n">
        <v>6.8</v>
      </c>
      <c r="AC153" s="13" t="n">
        <v>6.8</v>
      </c>
      <c r="AD153" s="13" t="n">
        <v>6.8</v>
      </c>
      <c r="AE153" s="13" t="n">
        <v>6.6</v>
      </c>
      <c r="AF153" s="13">
        <f>IFERROR(ROUND(AVERAGE(AB153:AE153),1),"")</f>
        <v/>
      </c>
      <c r="AG153" s="13" t="n">
        <v>6.6</v>
      </c>
      <c r="AH153" s="13" t="n">
        <v>6</v>
      </c>
      <c r="AI153" s="13" t="n">
        <v>7</v>
      </c>
      <c r="AJ153" s="13" t="n">
        <v>7.4</v>
      </c>
      <c r="AK153" s="13">
        <f>IFERROR(ROUND(AVERAGE(AG153:AJ153),1),"")</f>
        <v/>
      </c>
      <c r="AL153" s="13" t="inlineStr"/>
      <c r="AM153" s="13" t="inlineStr"/>
      <c r="AN153" s="13" t="inlineStr"/>
      <c r="AO153" s="13">
        <f>IFERROR(ROUND(AVERAGE(AL153:AN153),1),"")</f>
        <v/>
      </c>
      <c r="AP153" s="13" t="n">
        <v>8.4</v>
      </c>
      <c r="AQ153" s="13" t="n">
        <v>8</v>
      </c>
      <c r="AR153" s="13" t="n">
        <v>4</v>
      </c>
      <c r="AS153" s="13" t="n">
        <v>9</v>
      </c>
      <c r="AT153" s="13">
        <f>IFERROR(ROUND(AVERAGE(AP153:AS153),1),"")</f>
        <v/>
      </c>
      <c r="AU153" s="13" t="n">
        <v>7</v>
      </c>
      <c r="AV153" s="13" t="n">
        <v>7.2</v>
      </c>
      <c r="AW153" s="13" t="n">
        <v>7</v>
      </c>
      <c r="AX153" s="13" t="n">
        <v>7</v>
      </c>
      <c r="AY153" s="13">
        <f>IFERROR(ROUND(AVERAGE(AU153:AX153),1),"")</f>
        <v/>
      </c>
      <c r="AZ153" s="13">
        <f>ROUND(0.19*N(Q153)+0.17*N(V153)+0.17*N(AA153)+0.1*N(AF153)+0.09*N(AK153)+0.12*N(AT153)+0.16*N(AY153),1)</f>
        <v/>
      </c>
      <c r="BA153" s="13" t="inlineStr">
        <is>
          <t>16K</t>
        </is>
      </c>
      <c r="BB153" s="13" t="n"/>
      <c r="BC153" s="13" t="inlineStr"/>
      <c r="BD153" s="13" t="inlineStr"/>
      <c r="BE153" s="13" t="inlineStr">
        <is>
          <t>medium</t>
        </is>
      </c>
      <c r="BF153" s="13" t="n">
        <v>3</v>
      </c>
      <c r="BG153" s="13" t="n">
        <v>3</v>
      </c>
      <c r="BH153" s="13" t="inlineStr">
        <is>
          <t>Strong reasoning/math for size; on-device</t>
        </is>
      </c>
      <c r="BI153" s="13" t="inlineStr">
        <is>
          <t>Long context; agentic autonomy</t>
        </is>
      </c>
      <c r="BJ153" s="15" t="inlineStr">
        <is>
          <t>M</t>
        </is>
      </c>
      <c r="BK153" s="13" t="inlineStr">
        <is>
          <t>Data-efficient SLM; family-inherited estimate (scaled from flagship); verify before HIGH-stakes routing</t>
        </is>
      </c>
      <c r="BL153" s="13" t="inlineStr">
        <is>
          <t>2026-06-07</t>
        </is>
      </c>
    </row>
    <row r="154">
      <c r="A154" s="13" t="inlineStr">
        <is>
          <t>phi-4-reasoning-plus</t>
        </is>
      </c>
      <c r="B154" s="13" t="inlineStr">
        <is>
          <t>Phi-4 Reasoning+</t>
        </is>
      </c>
      <c r="C154" s="13" t="inlineStr">
        <is>
          <t>Microsoft</t>
        </is>
      </c>
      <c r="D154" s="13" t="inlineStr">
        <is>
          <t>Phi-4</t>
        </is>
      </c>
      <c r="E154" s="13" t="inlineStr">
        <is>
          <t>4-reasoning-plus</t>
        </is>
      </c>
      <c r="F154" s="13" t="inlineStr">
        <is>
          <t>Current</t>
        </is>
      </c>
      <c r="G154" s="13" t="inlineStr">
        <is>
          <t>Small Reasoner</t>
        </is>
      </c>
      <c r="H154" s="13" t="inlineStr">
        <is>
          <t>GitHub Models (AI Toolkit)</t>
        </is>
      </c>
      <c r="I154" s="13" t="inlineStr">
        <is>
          <t>Aggregator</t>
        </is>
      </c>
      <c r="J154" s="13" t="inlineStr">
        <is>
          <t>Configured</t>
        </is>
      </c>
      <c r="K154" s="13" t="inlineStr">
        <is>
          <t>subscription_included</t>
        </is>
      </c>
      <c r="L154" s="13" t="inlineStr">
        <is>
          <t>No</t>
        </is>
      </c>
      <c r="M154" s="13" t="n">
        <v>8</v>
      </c>
      <c r="N154" s="13" t="n">
        <v>8.199999999999999</v>
      </c>
      <c r="O154" s="13" t="n">
        <v>6.8</v>
      </c>
      <c r="P154" s="13" t="n">
        <v>6.8</v>
      </c>
      <c r="Q154" s="13">
        <f>IFERROR(ROUND(AVERAGE(M154:P154),1),"")</f>
        <v/>
      </c>
      <c r="R154" s="13" t="n">
        <v>7.2</v>
      </c>
      <c r="S154" s="13" t="n">
        <v>6.6</v>
      </c>
      <c r="T154" s="13" t="n">
        <v>6.6</v>
      </c>
      <c r="U154" s="13" t="n">
        <v>7.2</v>
      </c>
      <c r="V154" s="13">
        <f>IFERROR(ROUND(AVERAGE(R154:U154),1),"")</f>
        <v/>
      </c>
      <c r="W154" s="13" t="n">
        <v>6.8</v>
      </c>
      <c r="X154" s="13" t="n">
        <v>6.6</v>
      </c>
      <c r="Y154" s="13" t="n">
        <v>5.8</v>
      </c>
      <c r="Z154" s="13" t="n">
        <v>7</v>
      </c>
      <c r="AA154" s="13">
        <f>IFERROR(ROUND(AVERAGE(W154:Z154),1),"")</f>
        <v/>
      </c>
      <c r="AB154" s="13" t="n">
        <v>6.6</v>
      </c>
      <c r="AC154" s="13" t="n">
        <v>6.6</v>
      </c>
      <c r="AD154" s="13" t="n">
        <v>6.6</v>
      </c>
      <c r="AE154" s="13" t="n">
        <v>6.4</v>
      </c>
      <c r="AF154" s="13">
        <f>IFERROR(ROUND(AVERAGE(AB154:AE154),1),"")</f>
        <v/>
      </c>
      <c r="AG154" s="13" t="n">
        <v>7</v>
      </c>
      <c r="AH154" s="13" t="n">
        <v>6.4</v>
      </c>
      <c r="AI154" s="13" t="n">
        <v>7</v>
      </c>
      <c r="AJ154" s="13" t="n">
        <v>7.6</v>
      </c>
      <c r="AK154" s="13">
        <f>IFERROR(ROUND(AVERAGE(AG154:AJ154),1),"")</f>
        <v/>
      </c>
      <c r="AL154" s="13" t="inlineStr"/>
      <c r="AM154" s="13" t="inlineStr"/>
      <c r="AN154" s="13" t="inlineStr"/>
      <c r="AO154" s="13">
        <f>IFERROR(ROUND(AVERAGE(AL154:AN154),1),"")</f>
        <v/>
      </c>
      <c r="AP154" s="13" t="n">
        <v>8</v>
      </c>
      <c r="AQ154" s="13" t="n">
        <v>7.6</v>
      </c>
      <c r="AR154" s="13" t="n">
        <v>4</v>
      </c>
      <c r="AS154" s="13" t="n">
        <v>8.800000000000001</v>
      </c>
      <c r="AT154" s="13">
        <f>IFERROR(ROUND(AVERAGE(AP154:AS154),1),"")</f>
        <v/>
      </c>
      <c r="AU154" s="13" t="n">
        <v>7.2</v>
      </c>
      <c r="AV154" s="13" t="n">
        <v>7.2</v>
      </c>
      <c r="AW154" s="13" t="n">
        <v>7</v>
      </c>
      <c r="AX154" s="13" t="n">
        <v>7</v>
      </c>
      <c r="AY154" s="13">
        <f>IFERROR(ROUND(AVERAGE(AU154:AX154),1),"")</f>
        <v/>
      </c>
      <c r="AZ154" s="13">
        <f>ROUND(0.19*N(Q154)+0.17*N(V154)+0.17*N(AA154)+0.1*N(AF154)+0.09*N(AK154)+0.12*N(AT154)+0.16*N(AY154),1)</f>
        <v/>
      </c>
      <c r="BA154" s="13" t="inlineStr">
        <is>
          <t>32K</t>
        </is>
      </c>
      <c r="BB154" s="13" t="n"/>
      <c r="BC154" s="13" t="inlineStr"/>
      <c r="BD154" s="13" t="inlineStr"/>
      <c r="BE154" s="13" t="inlineStr">
        <is>
          <t>high</t>
        </is>
      </c>
      <c r="BF154" s="13" t="n">
        <v>4</v>
      </c>
      <c r="BG154" s="13" t="n">
        <v>3</v>
      </c>
      <c r="BH154" s="13" t="inlineStr">
        <is>
          <t>RL-enhanced compact reasoning/math</t>
        </is>
      </c>
      <c r="BI154" s="13" t="inlineStr"/>
      <c r="BJ154" s="15" t="inlineStr">
        <is>
          <t>M</t>
        </is>
      </c>
      <c r="BK154" s="13" t="inlineStr">
        <is>
          <t>Reasoning-tuned Phi-4; family-inherited estimate (scaled from flagship); verify before HIGH-stakes routing</t>
        </is>
      </c>
      <c r="BL154" s="13" t="inlineStr">
        <is>
          <t>2026-06-07</t>
        </is>
      </c>
    </row>
    <row r="155">
      <c r="A155" s="13" t="inlineStr">
        <is>
          <t>phi-4-reasoning-plus</t>
        </is>
      </c>
      <c r="B155" s="13" t="inlineStr">
        <is>
          <t>Phi-4 Reasoning+</t>
        </is>
      </c>
      <c r="C155" s="13" t="inlineStr">
        <is>
          <t>Microsoft</t>
        </is>
      </c>
      <c r="D155" s="13" t="inlineStr">
        <is>
          <t>Phi-4</t>
        </is>
      </c>
      <c r="E155" s="13" t="inlineStr">
        <is>
          <t>4-reasoning-plus</t>
        </is>
      </c>
      <c r="F155" s="13" t="inlineStr">
        <is>
          <t>Current</t>
        </is>
      </c>
      <c r="G155" s="13" t="inlineStr">
        <is>
          <t>Small Reasoner</t>
        </is>
      </c>
      <c r="H155" s="13" t="inlineStr">
        <is>
          <t>Azure AI Foundry</t>
        </is>
      </c>
      <c r="I155" s="13" t="inlineStr">
        <is>
          <t>Aggregator</t>
        </is>
      </c>
      <c r="J155" s="13" t="inlineStr">
        <is>
          <t>Not credentialed</t>
        </is>
      </c>
      <c r="K155" s="13" t="inlineStr">
        <is>
          <t>metered (not configured)</t>
        </is>
      </c>
      <c r="L155" s="13" t="inlineStr">
        <is>
          <t>No</t>
        </is>
      </c>
      <c r="M155" s="13" t="n">
        <v>8</v>
      </c>
      <c r="N155" s="13" t="n">
        <v>8.199999999999999</v>
      </c>
      <c r="O155" s="13" t="n">
        <v>6.8</v>
      </c>
      <c r="P155" s="13" t="n">
        <v>6.8</v>
      </c>
      <c r="Q155" s="13">
        <f>IFERROR(ROUND(AVERAGE(M155:P155),1),"")</f>
        <v/>
      </c>
      <c r="R155" s="13" t="n">
        <v>7.2</v>
      </c>
      <c r="S155" s="13" t="n">
        <v>6.6</v>
      </c>
      <c r="T155" s="13" t="n">
        <v>6.6</v>
      </c>
      <c r="U155" s="13" t="n">
        <v>7.2</v>
      </c>
      <c r="V155" s="13">
        <f>IFERROR(ROUND(AVERAGE(R155:U155),1),"")</f>
        <v/>
      </c>
      <c r="W155" s="13" t="n">
        <v>6.8</v>
      </c>
      <c r="X155" s="13" t="n">
        <v>6.6</v>
      </c>
      <c r="Y155" s="13" t="n">
        <v>5.8</v>
      </c>
      <c r="Z155" s="13" t="n">
        <v>7</v>
      </c>
      <c r="AA155" s="13">
        <f>IFERROR(ROUND(AVERAGE(W155:Z155),1),"")</f>
        <v/>
      </c>
      <c r="AB155" s="13" t="n">
        <v>6.6</v>
      </c>
      <c r="AC155" s="13" t="n">
        <v>6.6</v>
      </c>
      <c r="AD155" s="13" t="n">
        <v>6.6</v>
      </c>
      <c r="AE155" s="13" t="n">
        <v>6.4</v>
      </c>
      <c r="AF155" s="13">
        <f>IFERROR(ROUND(AVERAGE(AB155:AE155),1),"")</f>
        <v/>
      </c>
      <c r="AG155" s="13" t="n">
        <v>7</v>
      </c>
      <c r="AH155" s="13" t="n">
        <v>6.4</v>
      </c>
      <c r="AI155" s="13" t="n">
        <v>7</v>
      </c>
      <c r="AJ155" s="13" t="n">
        <v>7.6</v>
      </c>
      <c r="AK155" s="13">
        <f>IFERROR(ROUND(AVERAGE(AG155:AJ155),1),"")</f>
        <v/>
      </c>
      <c r="AL155" s="13" t="inlineStr"/>
      <c r="AM155" s="13" t="inlineStr"/>
      <c r="AN155" s="13" t="inlineStr"/>
      <c r="AO155" s="13">
        <f>IFERROR(ROUND(AVERAGE(AL155:AN155),1),"")</f>
        <v/>
      </c>
      <c r="AP155" s="13" t="n">
        <v>8</v>
      </c>
      <c r="AQ155" s="13" t="n">
        <v>7.6</v>
      </c>
      <c r="AR155" s="13" t="n">
        <v>4</v>
      </c>
      <c r="AS155" s="13" t="n">
        <v>8.800000000000001</v>
      </c>
      <c r="AT155" s="13">
        <f>IFERROR(ROUND(AVERAGE(AP155:AS155),1),"")</f>
        <v/>
      </c>
      <c r="AU155" s="13" t="n">
        <v>7.2</v>
      </c>
      <c r="AV155" s="13" t="n">
        <v>7.2</v>
      </c>
      <c r="AW155" s="13" t="n">
        <v>7</v>
      </c>
      <c r="AX155" s="13" t="n">
        <v>7</v>
      </c>
      <c r="AY155" s="13">
        <f>IFERROR(ROUND(AVERAGE(AU155:AX155),1),"")</f>
        <v/>
      </c>
      <c r="AZ155" s="13">
        <f>ROUND(0.19*N(Q155)+0.17*N(V155)+0.17*N(AA155)+0.1*N(AF155)+0.09*N(AK155)+0.12*N(AT155)+0.16*N(AY155),1)</f>
        <v/>
      </c>
      <c r="BA155" s="13" t="inlineStr">
        <is>
          <t>32K</t>
        </is>
      </c>
      <c r="BB155" s="13" t="n"/>
      <c r="BC155" s="13" t="inlineStr"/>
      <c r="BD155" s="13" t="inlineStr"/>
      <c r="BE155" s="13" t="inlineStr">
        <is>
          <t>high</t>
        </is>
      </c>
      <c r="BF155" s="13" t="n">
        <v>4</v>
      </c>
      <c r="BG155" s="13" t="n">
        <v>3</v>
      </c>
      <c r="BH155" s="13" t="inlineStr">
        <is>
          <t>RL-enhanced compact reasoning/math</t>
        </is>
      </c>
      <c r="BI155" s="13" t="inlineStr"/>
      <c r="BJ155" s="15" t="inlineStr">
        <is>
          <t>M</t>
        </is>
      </c>
      <c r="BK155" s="13" t="inlineStr">
        <is>
          <t>Reasoning-tuned Phi-4; family-inherited estimate (scaled from flagship); verify before HIGH-stakes routing</t>
        </is>
      </c>
      <c r="BL155" s="13" t="inlineStr">
        <is>
          <t>2026-06-07</t>
        </is>
      </c>
    </row>
    <row r="156">
      <c r="A156" s="13" t="inlineStr">
        <is>
          <t>phi-4-multimodal</t>
        </is>
      </c>
      <c r="B156" s="13" t="inlineStr">
        <is>
          <t>Phi-4 Multimodal</t>
        </is>
      </c>
      <c r="C156" s="13" t="inlineStr">
        <is>
          <t>Microsoft</t>
        </is>
      </c>
      <c r="D156" s="13" t="inlineStr">
        <is>
          <t>Phi-4</t>
        </is>
      </c>
      <c r="E156" s="13" t="inlineStr">
        <is>
          <t>4-multimodal</t>
        </is>
      </c>
      <c r="F156" s="13" t="inlineStr">
        <is>
          <t>Current</t>
        </is>
      </c>
      <c r="G156" s="13" t="inlineStr">
        <is>
          <t>Small Multimodal</t>
        </is>
      </c>
      <c r="H156" s="13" t="inlineStr">
        <is>
          <t>GitHub Models (AI Toolkit)</t>
        </is>
      </c>
      <c r="I156" s="13" t="inlineStr">
        <is>
          <t>Aggregator</t>
        </is>
      </c>
      <c r="J156" s="13" t="inlineStr">
        <is>
          <t>Configured</t>
        </is>
      </c>
      <c r="K156" s="13" t="inlineStr">
        <is>
          <t>subscription_included</t>
        </is>
      </c>
      <c r="L156" s="13" t="inlineStr">
        <is>
          <t>No</t>
        </is>
      </c>
      <c r="M156" s="13" t="n">
        <v>7</v>
      </c>
      <c r="N156" s="13" t="n">
        <v>6.6</v>
      </c>
      <c r="O156" s="13" t="n">
        <v>6</v>
      </c>
      <c r="P156" s="13" t="n">
        <v>6.4</v>
      </c>
      <c r="Q156" s="13">
        <f>IFERROR(ROUND(AVERAGE(M156:P156),1),"")</f>
        <v/>
      </c>
      <c r="R156" s="13" t="n">
        <v>6.4</v>
      </c>
      <c r="S156" s="13" t="n">
        <v>5.6</v>
      </c>
      <c r="T156" s="13" t="n">
        <v>5.8</v>
      </c>
      <c r="U156" s="13" t="n">
        <v>6.4</v>
      </c>
      <c r="V156" s="13">
        <f>IFERROR(ROUND(AVERAGE(R156:U156),1),"")</f>
        <v/>
      </c>
      <c r="W156" s="13" t="n">
        <v>6.2</v>
      </c>
      <c r="X156" s="13" t="n">
        <v>5.8</v>
      </c>
      <c r="Y156" s="13" t="n">
        <v>5.2</v>
      </c>
      <c r="Z156" s="13" t="n">
        <v>6.4</v>
      </c>
      <c r="AA156" s="13">
        <f>IFERROR(ROUND(AVERAGE(W156:Z156),1),"")</f>
        <v/>
      </c>
      <c r="AB156" s="13" t="n">
        <v>6.6</v>
      </c>
      <c r="AC156" s="13" t="n">
        <v>6.6</v>
      </c>
      <c r="AD156" s="13" t="n">
        <v>6.6</v>
      </c>
      <c r="AE156" s="13" t="n">
        <v>7.2</v>
      </c>
      <c r="AF156" s="13">
        <f>IFERROR(ROUND(AVERAGE(AB156:AE156),1),"")</f>
        <v/>
      </c>
      <c r="AG156" s="13" t="n">
        <v>6.2</v>
      </c>
      <c r="AH156" s="13" t="n">
        <v>5.6</v>
      </c>
      <c r="AI156" s="13" t="n">
        <v>6.6</v>
      </c>
      <c r="AJ156" s="13" t="n">
        <v>6.6</v>
      </c>
      <c r="AK156" s="13">
        <f>IFERROR(ROUND(AVERAGE(AG156:AJ156),1),"")</f>
        <v/>
      </c>
      <c r="AL156" s="13" t="n">
        <v>7.4</v>
      </c>
      <c r="AM156" s="13" t="n">
        <v>7.2</v>
      </c>
      <c r="AN156" s="13" t="n">
        <v>7</v>
      </c>
      <c r="AO156" s="13">
        <f>IFERROR(ROUND(AVERAGE(AL156:AN156),1),"")</f>
        <v/>
      </c>
      <c r="AP156" s="13" t="n">
        <v>8.199999999999999</v>
      </c>
      <c r="AQ156" s="13" t="n">
        <v>8</v>
      </c>
      <c r="AR156" s="13" t="n">
        <v>4</v>
      </c>
      <c r="AS156" s="13" t="n">
        <v>9</v>
      </c>
      <c r="AT156" s="13">
        <f>IFERROR(ROUND(AVERAGE(AP156:AS156),1),"")</f>
        <v/>
      </c>
      <c r="AU156" s="13" t="n">
        <v>6.8</v>
      </c>
      <c r="AV156" s="13" t="n">
        <v>7</v>
      </c>
      <c r="AW156" s="13" t="n">
        <v>7</v>
      </c>
      <c r="AX156" s="13" t="n">
        <v>6.8</v>
      </c>
      <c r="AY156" s="13">
        <f>IFERROR(ROUND(AVERAGE(AU156:AX156),1),"")</f>
        <v/>
      </c>
      <c r="AZ156" s="13">
        <f>ROUND(0.19*N(Q156)+0.17*N(V156)+0.17*N(AA156)+0.1*N(AF156)+0.09*N(AK156)+0.12*N(AT156)+0.16*N(AY156),1)</f>
        <v/>
      </c>
      <c r="BA156" s="13" t="inlineStr">
        <is>
          <t>128K</t>
        </is>
      </c>
      <c r="BB156" s="13" t="n"/>
      <c r="BC156" s="13" t="inlineStr"/>
      <c r="BD156" s="13" t="inlineStr"/>
      <c r="BE156" s="13" t="inlineStr">
        <is>
          <t>medium</t>
        </is>
      </c>
      <c r="BF156" s="13" t="n">
        <v>3</v>
      </c>
      <c r="BG156" s="13" t="n">
        <v>3</v>
      </c>
      <c r="BH156" s="13" t="inlineStr">
        <is>
          <t>Compact text+vision+audio, 20+ langs</t>
        </is>
      </c>
      <c r="BI156" s="13" t="inlineStr">
        <is>
          <t>Hardest reasoning</t>
        </is>
      </c>
      <c r="BJ156" s="15" t="inlineStr">
        <is>
          <t>M</t>
        </is>
      </c>
      <c r="BK156" s="13" t="inlineStr">
        <is>
          <t>Phi multimodal; family-inherited estimate (scaled from flagship); verify before HIGH-stakes routing</t>
        </is>
      </c>
      <c r="BL156" s="13" t="inlineStr">
        <is>
          <t>2026-06-07</t>
        </is>
      </c>
    </row>
    <row r="157">
      <c r="A157" s="13" t="inlineStr">
        <is>
          <t>phi-4-multimodal</t>
        </is>
      </c>
      <c r="B157" s="13" t="inlineStr">
        <is>
          <t>Phi-4 Multimodal</t>
        </is>
      </c>
      <c r="C157" s="13" t="inlineStr">
        <is>
          <t>Microsoft</t>
        </is>
      </c>
      <c r="D157" s="13" t="inlineStr">
        <is>
          <t>Phi-4</t>
        </is>
      </c>
      <c r="E157" s="13" t="inlineStr">
        <is>
          <t>4-multimodal</t>
        </is>
      </c>
      <c r="F157" s="13" t="inlineStr">
        <is>
          <t>Current</t>
        </is>
      </c>
      <c r="G157" s="13" t="inlineStr">
        <is>
          <t>Small Multimodal</t>
        </is>
      </c>
      <c r="H157" s="13" t="inlineStr">
        <is>
          <t>Azure AI Foundry</t>
        </is>
      </c>
      <c r="I157" s="13" t="inlineStr">
        <is>
          <t>Aggregator</t>
        </is>
      </c>
      <c r="J157" s="13" t="inlineStr">
        <is>
          <t>Not credentialed</t>
        </is>
      </c>
      <c r="K157" s="13" t="inlineStr">
        <is>
          <t>metered (not configured)</t>
        </is>
      </c>
      <c r="L157" s="13" t="inlineStr">
        <is>
          <t>No</t>
        </is>
      </c>
      <c r="M157" s="13" t="n">
        <v>7</v>
      </c>
      <c r="N157" s="13" t="n">
        <v>6.6</v>
      </c>
      <c r="O157" s="13" t="n">
        <v>6</v>
      </c>
      <c r="P157" s="13" t="n">
        <v>6.4</v>
      </c>
      <c r="Q157" s="13">
        <f>IFERROR(ROUND(AVERAGE(M157:P157),1),"")</f>
        <v/>
      </c>
      <c r="R157" s="13" t="n">
        <v>6.4</v>
      </c>
      <c r="S157" s="13" t="n">
        <v>5.6</v>
      </c>
      <c r="T157" s="13" t="n">
        <v>5.8</v>
      </c>
      <c r="U157" s="13" t="n">
        <v>6.4</v>
      </c>
      <c r="V157" s="13">
        <f>IFERROR(ROUND(AVERAGE(R157:U157),1),"")</f>
        <v/>
      </c>
      <c r="W157" s="13" t="n">
        <v>6.2</v>
      </c>
      <c r="X157" s="13" t="n">
        <v>5.8</v>
      </c>
      <c r="Y157" s="13" t="n">
        <v>5.2</v>
      </c>
      <c r="Z157" s="13" t="n">
        <v>6.4</v>
      </c>
      <c r="AA157" s="13">
        <f>IFERROR(ROUND(AVERAGE(W157:Z157),1),"")</f>
        <v/>
      </c>
      <c r="AB157" s="13" t="n">
        <v>6.6</v>
      </c>
      <c r="AC157" s="13" t="n">
        <v>6.6</v>
      </c>
      <c r="AD157" s="13" t="n">
        <v>6.6</v>
      </c>
      <c r="AE157" s="13" t="n">
        <v>7.2</v>
      </c>
      <c r="AF157" s="13">
        <f>IFERROR(ROUND(AVERAGE(AB157:AE157),1),"")</f>
        <v/>
      </c>
      <c r="AG157" s="13" t="n">
        <v>6.2</v>
      </c>
      <c r="AH157" s="13" t="n">
        <v>5.6</v>
      </c>
      <c r="AI157" s="13" t="n">
        <v>6.6</v>
      </c>
      <c r="AJ157" s="13" t="n">
        <v>6.6</v>
      </c>
      <c r="AK157" s="13">
        <f>IFERROR(ROUND(AVERAGE(AG157:AJ157),1),"")</f>
        <v/>
      </c>
      <c r="AL157" s="13" t="n">
        <v>7.4</v>
      </c>
      <c r="AM157" s="13" t="n">
        <v>7.2</v>
      </c>
      <c r="AN157" s="13" t="n">
        <v>7</v>
      </c>
      <c r="AO157" s="13">
        <f>IFERROR(ROUND(AVERAGE(AL157:AN157),1),"")</f>
        <v/>
      </c>
      <c r="AP157" s="13" t="n">
        <v>8.199999999999999</v>
      </c>
      <c r="AQ157" s="13" t="n">
        <v>8</v>
      </c>
      <c r="AR157" s="13" t="n">
        <v>4</v>
      </c>
      <c r="AS157" s="13" t="n">
        <v>9</v>
      </c>
      <c r="AT157" s="13">
        <f>IFERROR(ROUND(AVERAGE(AP157:AS157),1),"")</f>
        <v/>
      </c>
      <c r="AU157" s="13" t="n">
        <v>6.8</v>
      </c>
      <c r="AV157" s="13" t="n">
        <v>7</v>
      </c>
      <c r="AW157" s="13" t="n">
        <v>7</v>
      </c>
      <c r="AX157" s="13" t="n">
        <v>6.8</v>
      </c>
      <c r="AY157" s="13">
        <f>IFERROR(ROUND(AVERAGE(AU157:AX157),1),"")</f>
        <v/>
      </c>
      <c r="AZ157" s="13">
        <f>ROUND(0.19*N(Q157)+0.17*N(V157)+0.17*N(AA157)+0.1*N(AF157)+0.09*N(AK157)+0.12*N(AT157)+0.16*N(AY157),1)</f>
        <v/>
      </c>
      <c r="BA157" s="13" t="inlineStr">
        <is>
          <t>128K</t>
        </is>
      </c>
      <c r="BB157" s="13" t="n"/>
      <c r="BC157" s="13" t="inlineStr"/>
      <c r="BD157" s="13" t="inlineStr"/>
      <c r="BE157" s="13" t="inlineStr">
        <is>
          <t>medium</t>
        </is>
      </c>
      <c r="BF157" s="13" t="n">
        <v>3</v>
      </c>
      <c r="BG157" s="13" t="n">
        <v>3</v>
      </c>
      <c r="BH157" s="13" t="inlineStr">
        <is>
          <t>Compact text+vision+audio, 20+ langs</t>
        </is>
      </c>
      <c r="BI157" s="13" t="inlineStr">
        <is>
          <t>Hardest reasoning</t>
        </is>
      </c>
      <c r="BJ157" s="15" t="inlineStr">
        <is>
          <t>M</t>
        </is>
      </c>
      <c r="BK157" s="13" t="inlineStr">
        <is>
          <t>Phi multimodal; family-inherited estimate (scaled from flagship); verify before HIGH-stakes routing</t>
        </is>
      </c>
      <c r="BL157" s="13" t="inlineStr">
        <is>
          <t>2026-06-07</t>
        </is>
      </c>
    </row>
    <row r="158">
      <c r="A158" s="13" t="inlineStr">
        <is>
          <t>phi-4-mini</t>
        </is>
      </c>
      <c r="B158" s="13" t="inlineStr">
        <is>
          <t>Phi-4 Mini</t>
        </is>
      </c>
      <c r="C158" s="13" t="inlineStr">
        <is>
          <t>Microsoft</t>
        </is>
      </c>
      <c r="D158" s="13" t="inlineStr">
        <is>
          <t>Phi-4</t>
        </is>
      </c>
      <c r="E158" s="13" t="inlineStr">
        <is>
          <t>4-mini</t>
        </is>
      </c>
      <c r="F158" s="13" t="inlineStr">
        <is>
          <t>Current</t>
        </is>
      </c>
      <c r="G158" s="13" t="inlineStr">
        <is>
          <t>Small / Edge</t>
        </is>
      </c>
      <c r="H158" s="13" t="inlineStr">
        <is>
          <t>GitHub Models (AI Toolkit)</t>
        </is>
      </c>
      <c r="I158" s="13" t="inlineStr">
        <is>
          <t>Aggregator</t>
        </is>
      </c>
      <c r="J158" s="13" t="inlineStr">
        <is>
          <t>Configured</t>
        </is>
      </c>
      <c r="K158" s="13" t="inlineStr">
        <is>
          <t>subscription_included</t>
        </is>
      </c>
      <c r="L158" s="13" t="inlineStr">
        <is>
          <t>No</t>
        </is>
      </c>
      <c r="M158" s="13" t="n">
        <v>6.6</v>
      </c>
      <c r="N158" s="13" t="n">
        <v>6.4</v>
      </c>
      <c r="O158" s="13" t="n">
        <v>5.6</v>
      </c>
      <c r="P158" s="13" t="n">
        <v>6.2</v>
      </c>
      <c r="Q158" s="13">
        <f>IFERROR(ROUND(AVERAGE(M158:P158),1),"")</f>
        <v/>
      </c>
      <c r="R158" s="13" t="n">
        <v>6.2</v>
      </c>
      <c r="S158" s="13" t="n">
        <v>5.4</v>
      </c>
      <c r="T158" s="13" t="n">
        <v>5.6</v>
      </c>
      <c r="U158" s="13" t="n">
        <v>6</v>
      </c>
      <c r="V158" s="13">
        <f>IFERROR(ROUND(AVERAGE(R158:U158),1),"")</f>
        <v/>
      </c>
      <c r="W158" s="13" t="n">
        <v>6</v>
      </c>
      <c r="X158" s="13" t="n">
        <v>5.6</v>
      </c>
      <c r="Y158" s="13" t="n">
        <v>5</v>
      </c>
      <c r="Z158" s="13" t="n">
        <v>6.2</v>
      </c>
      <c r="AA158" s="13">
        <f>IFERROR(ROUND(AVERAGE(W158:Z158),1),"")</f>
        <v/>
      </c>
      <c r="AB158" s="13" t="n">
        <v>6.2</v>
      </c>
      <c r="AC158" s="13" t="n">
        <v>6.2</v>
      </c>
      <c r="AD158" s="13" t="n">
        <v>6.2</v>
      </c>
      <c r="AE158" s="13" t="n">
        <v>6.6</v>
      </c>
      <c r="AF158" s="13">
        <f>IFERROR(ROUND(AVERAGE(AB158:AE158),1),"")</f>
        <v/>
      </c>
      <c r="AG158" s="13" t="n">
        <v>6</v>
      </c>
      <c r="AH158" s="13" t="n">
        <v>5.4</v>
      </c>
      <c r="AI158" s="13" t="n">
        <v>6.4</v>
      </c>
      <c r="AJ158" s="13" t="n">
        <v>6.4</v>
      </c>
      <c r="AK158" s="13">
        <f>IFERROR(ROUND(AVERAGE(AG158:AJ158),1),"")</f>
        <v/>
      </c>
      <c r="AL158" s="13" t="inlineStr"/>
      <c r="AM158" s="13" t="inlineStr"/>
      <c r="AN158" s="13" t="inlineStr"/>
      <c r="AO158" s="13">
        <f>IFERROR(ROUND(AVERAGE(AL158:AN158),1),"")</f>
        <v/>
      </c>
      <c r="AP158" s="13" t="n">
        <v>8.800000000000001</v>
      </c>
      <c r="AQ158" s="13" t="n">
        <v>8.4</v>
      </c>
      <c r="AR158" s="13" t="n">
        <v>5</v>
      </c>
      <c r="AS158" s="13" t="n">
        <v>9.4</v>
      </c>
      <c r="AT158" s="13">
        <f>IFERROR(ROUND(AVERAGE(AP158:AS158),1),"")</f>
        <v/>
      </c>
      <c r="AU158" s="13" t="n">
        <v>6.6</v>
      </c>
      <c r="AV158" s="13" t="n">
        <v>6.8</v>
      </c>
      <c r="AW158" s="13" t="n">
        <v>6.8</v>
      </c>
      <c r="AX158" s="13" t="n">
        <v>6.6</v>
      </c>
      <c r="AY158" s="13">
        <f>IFERROR(ROUND(AVERAGE(AU158:AX158),1),"")</f>
        <v/>
      </c>
      <c r="AZ158" s="13">
        <f>ROUND(0.19*N(Q158)+0.17*N(V158)+0.17*N(AA158)+0.1*N(AF158)+0.09*N(AK158)+0.12*N(AT158)+0.16*N(AY158),1)</f>
        <v/>
      </c>
      <c r="BA158" s="13" t="inlineStr">
        <is>
          <t>128K</t>
        </is>
      </c>
      <c r="BB158" s="13" t="n"/>
      <c r="BC158" s="13" t="inlineStr"/>
      <c r="BD158" s="13" t="inlineStr"/>
      <c r="BE158" s="13" t="inlineStr">
        <is>
          <t>medium</t>
        </is>
      </c>
      <c r="BF158" s="13" t="n">
        <v>3</v>
      </c>
      <c r="BG158" s="13" t="n">
        <v>3</v>
      </c>
      <c r="BH158" s="13" t="inlineStr">
        <is>
          <t>Efficient multilingual SLM</t>
        </is>
      </c>
      <c r="BI158" s="13" t="inlineStr">
        <is>
          <t>Depth</t>
        </is>
      </c>
      <c r="BJ158" s="15" t="inlineStr">
        <is>
          <t>M</t>
        </is>
      </c>
      <c r="BK158" s="13" t="inlineStr">
        <is>
          <t>Phi mini; family-inherited estimate (scaled from flagship); verify before HIGH-stakes routing</t>
        </is>
      </c>
      <c r="BL158" s="13" t="inlineStr">
        <is>
          <t>2026-06-07</t>
        </is>
      </c>
    </row>
    <row r="159">
      <c r="A159" s="13" t="inlineStr">
        <is>
          <t>phi-4-mini</t>
        </is>
      </c>
      <c r="B159" s="13" t="inlineStr">
        <is>
          <t>Phi-4 Mini</t>
        </is>
      </c>
      <c r="C159" s="13" t="inlineStr">
        <is>
          <t>Microsoft</t>
        </is>
      </c>
      <c r="D159" s="13" t="inlineStr">
        <is>
          <t>Phi-4</t>
        </is>
      </c>
      <c r="E159" s="13" t="inlineStr">
        <is>
          <t>4-mini</t>
        </is>
      </c>
      <c r="F159" s="13" t="inlineStr">
        <is>
          <t>Current</t>
        </is>
      </c>
      <c r="G159" s="13" t="inlineStr">
        <is>
          <t>Small / Edge</t>
        </is>
      </c>
      <c r="H159" s="13" t="inlineStr">
        <is>
          <t>Azure AI Foundry</t>
        </is>
      </c>
      <c r="I159" s="13" t="inlineStr">
        <is>
          <t>Aggregator</t>
        </is>
      </c>
      <c r="J159" s="13" t="inlineStr">
        <is>
          <t>Not credentialed</t>
        </is>
      </c>
      <c r="K159" s="13" t="inlineStr">
        <is>
          <t>metered (not configured)</t>
        </is>
      </c>
      <c r="L159" s="13" t="inlineStr">
        <is>
          <t>No</t>
        </is>
      </c>
      <c r="M159" s="13" t="n">
        <v>6.6</v>
      </c>
      <c r="N159" s="13" t="n">
        <v>6.4</v>
      </c>
      <c r="O159" s="13" t="n">
        <v>5.6</v>
      </c>
      <c r="P159" s="13" t="n">
        <v>6.2</v>
      </c>
      <c r="Q159" s="13">
        <f>IFERROR(ROUND(AVERAGE(M159:P159),1),"")</f>
        <v/>
      </c>
      <c r="R159" s="13" t="n">
        <v>6.2</v>
      </c>
      <c r="S159" s="13" t="n">
        <v>5.4</v>
      </c>
      <c r="T159" s="13" t="n">
        <v>5.6</v>
      </c>
      <c r="U159" s="13" t="n">
        <v>6</v>
      </c>
      <c r="V159" s="13">
        <f>IFERROR(ROUND(AVERAGE(R159:U159),1),"")</f>
        <v/>
      </c>
      <c r="W159" s="13" t="n">
        <v>6</v>
      </c>
      <c r="X159" s="13" t="n">
        <v>5.6</v>
      </c>
      <c r="Y159" s="13" t="n">
        <v>5</v>
      </c>
      <c r="Z159" s="13" t="n">
        <v>6.2</v>
      </c>
      <c r="AA159" s="13">
        <f>IFERROR(ROUND(AVERAGE(W159:Z159),1),"")</f>
        <v/>
      </c>
      <c r="AB159" s="13" t="n">
        <v>6.2</v>
      </c>
      <c r="AC159" s="13" t="n">
        <v>6.2</v>
      </c>
      <c r="AD159" s="13" t="n">
        <v>6.2</v>
      </c>
      <c r="AE159" s="13" t="n">
        <v>6.6</v>
      </c>
      <c r="AF159" s="13">
        <f>IFERROR(ROUND(AVERAGE(AB159:AE159),1),"")</f>
        <v/>
      </c>
      <c r="AG159" s="13" t="n">
        <v>6</v>
      </c>
      <c r="AH159" s="13" t="n">
        <v>5.4</v>
      </c>
      <c r="AI159" s="13" t="n">
        <v>6.4</v>
      </c>
      <c r="AJ159" s="13" t="n">
        <v>6.4</v>
      </c>
      <c r="AK159" s="13">
        <f>IFERROR(ROUND(AVERAGE(AG159:AJ159),1),"")</f>
        <v/>
      </c>
      <c r="AL159" s="13" t="inlineStr"/>
      <c r="AM159" s="13" t="inlineStr"/>
      <c r="AN159" s="13" t="inlineStr"/>
      <c r="AO159" s="13">
        <f>IFERROR(ROUND(AVERAGE(AL159:AN159),1),"")</f>
        <v/>
      </c>
      <c r="AP159" s="13" t="n">
        <v>8.800000000000001</v>
      </c>
      <c r="AQ159" s="13" t="n">
        <v>8.4</v>
      </c>
      <c r="AR159" s="13" t="n">
        <v>5</v>
      </c>
      <c r="AS159" s="13" t="n">
        <v>9.4</v>
      </c>
      <c r="AT159" s="13">
        <f>IFERROR(ROUND(AVERAGE(AP159:AS159),1),"")</f>
        <v/>
      </c>
      <c r="AU159" s="13" t="n">
        <v>6.6</v>
      </c>
      <c r="AV159" s="13" t="n">
        <v>6.8</v>
      </c>
      <c r="AW159" s="13" t="n">
        <v>6.8</v>
      </c>
      <c r="AX159" s="13" t="n">
        <v>6.6</v>
      </c>
      <c r="AY159" s="13">
        <f>IFERROR(ROUND(AVERAGE(AU159:AX159),1),"")</f>
        <v/>
      </c>
      <c r="AZ159" s="13">
        <f>ROUND(0.19*N(Q159)+0.17*N(V159)+0.17*N(AA159)+0.1*N(AF159)+0.09*N(AK159)+0.12*N(AT159)+0.16*N(AY159),1)</f>
        <v/>
      </c>
      <c r="BA159" s="13" t="inlineStr">
        <is>
          <t>128K</t>
        </is>
      </c>
      <c r="BB159" s="13" t="n"/>
      <c r="BC159" s="13" t="inlineStr"/>
      <c r="BD159" s="13" t="inlineStr"/>
      <c r="BE159" s="13" t="inlineStr">
        <is>
          <t>medium</t>
        </is>
      </c>
      <c r="BF159" s="13" t="n">
        <v>3</v>
      </c>
      <c r="BG159" s="13" t="n">
        <v>3</v>
      </c>
      <c r="BH159" s="13" t="inlineStr">
        <is>
          <t>Efficient multilingual SLM</t>
        </is>
      </c>
      <c r="BI159" s="13" t="inlineStr">
        <is>
          <t>Depth</t>
        </is>
      </c>
      <c r="BJ159" s="15" t="inlineStr">
        <is>
          <t>M</t>
        </is>
      </c>
      <c r="BK159" s="13" t="inlineStr">
        <is>
          <t>Phi mini; family-inherited estimate (scaled from flagship); verify before HIGH-stakes routing</t>
        </is>
      </c>
      <c r="BL159" s="13" t="inlineStr">
        <is>
          <t>2026-06-07</t>
        </is>
      </c>
    </row>
    <row r="160">
      <c r="A160" s="13" t="inlineStr">
        <is>
          <t>command-a-plus-05-2026</t>
        </is>
      </c>
      <c r="B160" s="13" t="inlineStr">
        <is>
          <t>Command A+</t>
        </is>
      </c>
      <c r="C160" s="13" t="inlineStr">
        <is>
          <t>Cohere</t>
        </is>
      </c>
      <c r="D160" s="13" t="inlineStr">
        <is>
          <t>Command A</t>
        </is>
      </c>
      <c r="E160" s="13" t="inlineStr">
        <is>
          <t>a-plus</t>
        </is>
      </c>
      <c r="F160" s="13" t="inlineStr">
        <is>
          <t>Current</t>
        </is>
      </c>
      <c r="G160" s="13" t="inlineStr">
        <is>
          <t>Enterprise/RAG</t>
        </is>
      </c>
      <c r="H160" s="13" t="inlineStr">
        <is>
          <t>Cohere API</t>
        </is>
      </c>
      <c r="I160" s="13" t="inlineStr">
        <is>
          <t>HTTP API</t>
        </is>
      </c>
      <c r="J160" s="13" t="inlineStr">
        <is>
          <t>Not-keyed</t>
        </is>
      </c>
      <c r="K160" s="13" t="inlineStr">
        <is>
          <t>metered (not configured)</t>
        </is>
      </c>
      <c r="L160" s="13" t="inlineStr">
        <is>
          <t>No</t>
        </is>
      </c>
      <c r="M160" s="13" t="n">
        <v>8</v>
      </c>
      <c r="N160" s="13" t="n">
        <v>7.4</v>
      </c>
      <c r="O160" s="13" t="n">
        <v>7.8</v>
      </c>
      <c r="P160" s="13" t="n">
        <v>7.8</v>
      </c>
      <c r="Q160" s="13">
        <f>IFERROR(ROUND(AVERAGE(M160:P160),1),"")</f>
        <v/>
      </c>
      <c r="R160" s="13" t="n">
        <v>7.6</v>
      </c>
      <c r="S160" s="13" t="n">
        <v>7</v>
      </c>
      <c r="T160" s="13" t="n">
        <v>7.2</v>
      </c>
      <c r="U160" s="13" t="n">
        <v>7.6</v>
      </c>
      <c r="V160" s="13">
        <f>IFERROR(ROUND(AVERAGE(R160:U160),1),"")</f>
        <v/>
      </c>
      <c r="W160" s="13" t="n">
        <v>8.199999999999999</v>
      </c>
      <c r="X160" s="13" t="n">
        <v>7.8</v>
      </c>
      <c r="Y160" s="13" t="n">
        <v>7.2</v>
      </c>
      <c r="Z160" s="13" t="n">
        <v>8.199999999999999</v>
      </c>
      <c r="AA160" s="13">
        <f>IFERROR(ROUND(AVERAGE(W160:Z160),1),"")</f>
        <v/>
      </c>
      <c r="AB160" s="13" t="n">
        <v>8</v>
      </c>
      <c r="AC160" s="13" t="n">
        <v>8</v>
      </c>
      <c r="AD160" s="13" t="n">
        <v>8</v>
      </c>
      <c r="AE160" s="13" t="n">
        <v>8.4</v>
      </c>
      <c r="AF160" s="13">
        <f>IFERROR(ROUND(AVERAGE(AB160:AE160),1),"")</f>
        <v/>
      </c>
      <c r="AG160" s="13" t="n">
        <v>7.6</v>
      </c>
      <c r="AH160" s="13" t="n">
        <v>7</v>
      </c>
      <c r="AI160" s="13" t="n">
        <v>8</v>
      </c>
      <c r="AJ160" s="13" t="n">
        <v>7.6</v>
      </c>
      <c r="AK160" s="13">
        <f>IFERROR(ROUND(AVERAGE(AG160:AJ160),1),"")</f>
        <v/>
      </c>
      <c r="AL160" s="13" t="inlineStr"/>
      <c r="AM160" s="13" t="inlineStr"/>
      <c r="AN160" s="13" t="inlineStr"/>
      <c r="AO160" s="13">
        <f>IFERROR(ROUND(AVERAGE(AL160:AN160),1),"")</f>
        <v/>
      </c>
      <c r="AP160" s="13" t="n">
        <v>7.8</v>
      </c>
      <c r="AQ160" s="13" t="n">
        <v>7.8</v>
      </c>
      <c r="AR160" s="13" t="n">
        <v>7</v>
      </c>
      <c r="AS160" s="13" t="n">
        <v>7</v>
      </c>
      <c r="AT160" s="13">
        <f>IFERROR(ROUND(AVERAGE(AP160:AS160),1),"")</f>
        <v/>
      </c>
      <c r="AU160" s="13" t="n">
        <v>8</v>
      </c>
      <c r="AV160" s="13" t="n">
        <v>8</v>
      </c>
      <c r="AW160" s="13" t="n">
        <v>8.199999999999999</v>
      </c>
      <c r="AX160" s="13" t="n">
        <v>7.8</v>
      </c>
      <c r="AY160" s="13">
        <f>IFERROR(ROUND(AVERAGE(AU160:AX160),1),"")</f>
        <v/>
      </c>
      <c r="AZ160" s="13">
        <f>ROUND(0.19*N(Q160)+0.17*N(V160)+0.17*N(AA160)+0.1*N(AF160)+0.09*N(AK160)+0.12*N(AT160)+0.16*N(AY160),1)</f>
        <v/>
      </c>
      <c r="BA160" s="13" t="inlineStr">
        <is>
          <t>256K</t>
        </is>
      </c>
      <c r="BB160" s="13" t="n"/>
      <c r="BC160" s="13" t="inlineStr"/>
      <c r="BD160" s="13" t="inlineStr"/>
      <c r="BE160" s="13" t="inlineStr">
        <is>
          <t>high</t>
        </is>
      </c>
      <c r="BF160" s="13" t="n">
        <v>4</v>
      </c>
      <c r="BG160" s="13" t="n">
        <v>4</v>
      </c>
      <c r="BH160" s="13" t="inlineStr">
        <is>
          <t>Enterprise RAG, tool use, multilingual, citations</t>
        </is>
      </c>
      <c r="BI160" s="13" t="inlineStr">
        <is>
          <t>Frontier reasoning</t>
        </is>
      </c>
      <c r="BJ160" s="15" t="inlineStr">
        <is>
          <t>M</t>
        </is>
      </c>
      <c r="BK160" s="13" t="inlineStr">
        <is>
          <t>Cohere flagship (BFCL-strong line); family-inherited estimate (scaled from flagship); verify before HIGH-stakes routing</t>
        </is>
      </c>
      <c r="BL160" s="13" t="inlineStr">
        <is>
          <t>2026-06-07</t>
        </is>
      </c>
    </row>
    <row r="161">
      <c r="A161" s="13" t="inlineStr">
        <is>
          <t>command-a-plus-05-2026</t>
        </is>
      </c>
      <c r="B161" s="13" t="inlineStr">
        <is>
          <t>Command A+</t>
        </is>
      </c>
      <c r="C161" s="13" t="inlineStr">
        <is>
          <t>Cohere</t>
        </is>
      </c>
      <c r="D161" s="13" t="inlineStr">
        <is>
          <t>Command A</t>
        </is>
      </c>
      <c r="E161" s="13" t="inlineStr">
        <is>
          <t>a-plus</t>
        </is>
      </c>
      <c r="F161" s="13" t="inlineStr">
        <is>
          <t>Current</t>
        </is>
      </c>
      <c r="G161" s="13" t="inlineStr">
        <is>
          <t>Enterprise/RAG</t>
        </is>
      </c>
      <c r="H161" s="13" t="inlineStr">
        <is>
          <t>Amazon Bedrock (Kiro)</t>
        </is>
      </c>
      <c r="I161" s="13" t="inlineStr">
        <is>
          <t>Aggregator</t>
        </is>
      </c>
      <c r="J161" s="13" t="inlineStr">
        <is>
          <t>Installed; login unverified</t>
        </is>
      </c>
      <c r="K161" s="13" t="inlineStr">
        <is>
          <t>metered (not configured)</t>
        </is>
      </c>
      <c r="L161" s="13" t="inlineStr">
        <is>
          <t>No</t>
        </is>
      </c>
      <c r="M161" s="13" t="n">
        <v>8</v>
      </c>
      <c r="N161" s="13" t="n">
        <v>7.4</v>
      </c>
      <c r="O161" s="13" t="n">
        <v>7.8</v>
      </c>
      <c r="P161" s="13" t="n">
        <v>7.8</v>
      </c>
      <c r="Q161" s="13">
        <f>IFERROR(ROUND(AVERAGE(M161:P161),1),"")</f>
        <v/>
      </c>
      <c r="R161" s="13" t="n">
        <v>7.6</v>
      </c>
      <c r="S161" s="13" t="n">
        <v>7</v>
      </c>
      <c r="T161" s="13" t="n">
        <v>7.2</v>
      </c>
      <c r="U161" s="13" t="n">
        <v>7.6</v>
      </c>
      <c r="V161" s="13">
        <f>IFERROR(ROUND(AVERAGE(R161:U161),1),"")</f>
        <v/>
      </c>
      <c r="W161" s="13" t="n">
        <v>8.199999999999999</v>
      </c>
      <c r="X161" s="13" t="n">
        <v>7.8</v>
      </c>
      <c r="Y161" s="13" t="n">
        <v>7.2</v>
      </c>
      <c r="Z161" s="13" t="n">
        <v>8.199999999999999</v>
      </c>
      <c r="AA161" s="13">
        <f>IFERROR(ROUND(AVERAGE(W161:Z161),1),"")</f>
        <v/>
      </c>
      <c r="AB161" s="13" t="n">
        <v>8</v>
      </c>
      <c r="AC161" s="13" t="n">
        <v>8</v>
      </c>
      <c r="AD161" s="13" t="n">
        <v>8</v>
      </c>
      <c r="AE161" s="13" t="n">
        <v>8.4</v>
      </c>
      <c r="AF161" s="13">
        <f>IFERROR(ROUND(AVERAGE(AB161:AE161),1),"")</f>
        <v/>
      </c>
      <c r="AG161" s="13" t="n">
        <v>7.6</v>
      </c>
      <c r="AH161" s="13" t="n">
        <v>7</v>
      </c>
      <c r="AI161" s="13" t="n">
        <v>8</v>
      </c>
      <c r="AJ161" s="13" t="n">
        <v>7.6</v>
      </c>
      <c r="AK161" s="13">
        <f>IFERROR(ROUND(AVERAGE(AG161:AJ161),1),"")</f>
        <v/>
      </c>
      <c r="AL161" s="13" t="inlineStr"/>
      <c r="AM161" s="13" t="inlineStr"/>
      <c r="AN161" s="13" t="inlineStr"/>
      <c r="AO161" s="13">
        <f>IFERROR(ROUND(AVERAGE(AL161:AN161),1),"")</f>
        <v/>
      </c>
      <c r="AP161" s="13" t="n">
        <v>7.8</v>
      </c>
      <c r="AQ161" s="13" t="n">
        <v>7.8</v>
      </c>
      <c r="AR161" s="13" t="n">
        <v>7</v>
      </c>
      <c r="AS161" s="13" t="n">
        <v>7</v>
      </c>
      <c r="AT161" s="13">
        <f>IFERROR(ROUND(AVERAGE(AP161:AS161),1),"")</f>
        <v/>
      </c>
      <c r="AU161" s="13" t="n">
        <v>8</v>
      </c>
      <c r="AV161" s="13" t="n">
        <v>8</v>
      </c>
      <c r="AW161" s="13" t="n">
        <v>8.199999999999999</v>
      </c>
      <c r="AX161" s="13" t="n">
        <v>7.8</v>
      </c>
      <c r="AY161" s="13">
        <f>IFERROR(ROUND(AVERAGE(AU161:AX161),1),"")</f>
        <v/>
      </c>
      <c r="AZ161" s="13">
        <f>ROUND(0.19*N(Q161)+0.17*N(V161)+0.17*N(AA161)+0.1*N(AF161)+0.09*N(AK161)+0.12*N(AT161)+0.16*N(AY161),1)</f>
        <v/>
      </c>
      <c r="BA161" s="13" t="inlineStr">
        <is>
          <t>256K</t>
        </is>
      </c>
      <c r="BB161" s="13" t="n"/>
      <c r="BC161" s="13" t="inlineStr"/>
      <c r="BD161" s="13" t="inlineStr"/>
      <c r="BE161" s="13" t="inlineStr">
        <is>
          <t>high</t>
        </is>
      </c>
      <c r="BF161" s="13" t="n">
        <v>4</v>
      </c>
      <c r="BG161" s="13" t="n">
        <v>4</v>
      </c>
      <c r="BH161" s="13" t="inlineStr">
        <is>
          <t>Enterprise RAG, tool use, multilingual, citations</t>
        </is>
      </c>
      <c r="BI161" s="13" t="inlineStr">
        <is>
          <t>Frontier reasoning</t>
        </is>
      </c>
      <c r="BJ161" s="15" t="inlineStr">
        <is>
          <t>M</t>
        </is>
      </c>
      <c r="BK161" s="13" t="inlineStr">
        <is>
          <t>Cohere flagship (BFCL-strong line); family-inherited estimate (scaled from flagship); verify before HIGH-stakes routing</t>
        </is>
      </c>
      <c r="BL161" s="13" t="inlineStr">
        <is>
          <t>2026-06-07</t>
        </is>
      </c>
    </row>
    <row r="162">
      <c r="A162" s="13" t="inlineStr">
        <is>
          <t>command-a</t>
        </is>
      </c>
      <c r="B162" s="13" t="inlineStr">
        <is>
          <t>Command A</t>
        </is>
      </c>
      <c r="C162" s="13" t="inlineStr">
        <is>
          <t>Cohere</t>
        </is>
      </c>
      <c r="D162" s="13" t="inlineStr">
        <is>
          <t>Command A</t>
        </is>
      </c>
      <c r="E162" s="13" t="inlineStr">
        <is>
          <t>a</t>
        </is>
      </c>
      <c r="F162" s="13" t="inlineStr">
        <is>
          <t>Current</t>
        </is>
      </c>
      <c r="G162" s="13" t="inlineStr">
        <is>
          <t>Enterprise/RAG</t>
        </is>
      </c>
      <c r="H162" s="13" t="inlineStr">
        <is>
          <t>Cohere API</t>
        </is>
      </c>
      <c r="I162" s="13" t="inlineStr">
        <is>
          <t>HTTP API</t>
        </is>
      </c>
      <c r="J162" s="13" t="inlineStr">
        <is>
          <t>Not-keyed</t>
        </is>
      </c>
      <c r="K162" s="13" t="inlineStr">
        <is>
          <t>metered (not configured)</t>
        </is>
      </c>
      <c r="L162" s="13" t="inlineStr">
        <is>
          <t>No</t>
        </is>
      </c>
      <c r="M162" s="13" t="n">
        <v>7.6</v>
      </c>
      <c r="N162" s="13" t="n">
        <v>7</v>
      </c>
      <c r="O162" s="13" t="n">
        <v>7.4</v>
      </c>
      <c r="P162" s="13" t="n">
        <v>7.6</v>
      </c>
      <c r="Q162" s="13">
        <f>IFERROR(ROUND(AVERAGE(M162:P162),1),"")</f>
        <v/>
      </c>
      <c r="R162" s="13" t="n">
        <v>7.2</v>
      </c>
      <c r="S162" s="13" t="n">
        <v>6.6</v>
      </c>
      <c r="T162" s="13" t="n">
        <v>6.8</v>
      </c>
      <c r="U162" s="13" t="n">
        <v>7.2</v>
      </c>
      <c r="V162" s="13">
        <f>IFERROR(ROUND(AVERAGE(R162:U162),1),"")</f>
        <v/>
      </c>
      <c r="W162" s="13" t="n">
        <v>8</v>
      </c>
      <c r="X162" s="13" t="n">
        <v>7.6</v>
      </c>
      <c r="Y162" s="13" t="n">
        <v>7</v>
      </c>
      <c r="Z162" s="13" t="n">
        <v>8</v>
      </c>
      <c r="AA162" s="13">
        <f>IFERROR(ROUND(AVERAGE(W162:Z162),1),"")</f>
        <v/>
      </c>
      <c r="AB162" s="13" t="n">
        <v>7.8</v>
      </c>
      <c r="AC162" s="13" t="n">
        <v>7.8</v>
      </c>
      <c r="AD162" s="13" t="n">
        <v>7.8</v>
      </c>
      <c r="AE162" s="13" t="n">
        <v>8.199999999999999</v>
      </c>
      <c r="AF162" s="13">
        <f>IFERROR(ROUND(AVERAGE(AB162:AE162),1),"")</f>
        <v/>
      </c>
      <c r="AG162" s="13" t="n">
        <v>7.4</v>
      </c>
      <c r="AH162" s="13" t="n">
        <v>6.8</v>
      </c>
      <c r="AI162" s="13" t="n">
        <v>7.8</v>
      </c>
      <c r="AJ162" s="13" t="n">
        <v>7.4</v>
      </c>
      <c r="AK162" s="13">
        <f>IFERROR(ROUND(AVERAGE(AG162:AJ162),1),"")</f>
        <v/>
      </c>
      <c r="AL162" s="13" t="inlineStr"/>
      <c r="AM162" s="13" t="inlineStr"/>
      <c r="AN162" s="13" t="inlineStr"/>
      <c r="AO162" s="13">
        <f>IFERROR(ROUND(AVERAGE(AL162:AN162),1),"")</f>
        <v/>
      </c>
      <c r="AP162" s="13" t="n">
        <v>8</v>
      </c>
      <c r="AQ162" s="13" t="n">
        <v>8</v>
      </c>
      <c r="AR162" s="13" t="n">
        <v>7</v>
      </c>
      <c r="AS162" s="13" t="n">
        <v>7.5</v>
      </c>
      <c r="AT162" s="13">
        <f>IFERROR(ROUND(AVERAGE(AP162:AS162),1),"")</f>
        <v/>
      </c>
      <c r="AU162" s="13" t="n">
        <v>7.8</v>
      </c>
      <c r="AV162" s="13" t="n">
        <v>7.8</v>
      </c>
      <c r="AW162" s="13" t="n">
        <v>8</v>
      </c>
      <c r="AX162" s="13" t="n">
        <v>7.6</v>
      </c>
      <c r="AY162" s="13">
        <f>IFERROR(ROUND(AVERAGE(AU162:AX162),1),"")</f>
        <v/>
      </c>
      <c r="AZ162" s="13">
        <f>ROUND(0.19*N(Q162)+0.17*N(V162)+0.17*N(AA162)+0.1*N(AF162)+0.09*N(AK162)+0.12*N(AT162)+0.16*N(AY162),1)</f>
        <v/>
      </c>
      <c r="BA162" s="13" t="inlineStr">
        <is>
          <t>256K</t>
        </is>
      </c>
      <c r="BB162" s="13" t="n"/>
      <c r="BC162" s="13" t="inlineStr"/>
      <c r="BD162" s="13" t="inlineStr"/>
      <c r="BE162" s="13" t="inlineStr">
        <is>
          <t>high</t>
        </is>
      </c>
      <c r="BF162" s="13" t="n">
        <v>4</v>
      </c>
      <c r="BG162" s="13" t="n">
        <v>4</v>
      </c>
      <c r="BH162" s="13" t="inlineStr">
        <is>
          <t>Enterprise RAG/tool use</t>
        </is>
      </c>
      <c r="BI162" s="13" t="inlineStr"/>
      <c r="BJ162" s="15" t="inlineStr">
        <is>
          <t>M</t>
        </is>
      </c>
      <c r="BK162" s="13" t="inlineStr">
        <is>
          <t>Cohere current; family-inherited estimate (scaled from flagship); verify before HIGH-stakes routing</t>
        </is>
      </c>
      <c r="BL162" s="13" t="inlineStr">
        <is>
          <t>2026-06-07</t>
        </is>
      </c>
    </row>
    <row r="163">
      <c r="A163" s="13" t="inlineStr">
        <is>
          <t>command-a</t>
        </is>
      </c>
      <c r="B163" s="13" t="inlineStr">
        <is>
          <t>Command A</t>
        </is>
      </c>
      <c r="C163" s="13" t="inlineStr">
        <is>
          <t>Cohere</t>
        </is>
      </c>
      <c r="D163" s="13" t="inlineStr">
        <is>
          <t>Command A</t>
        </is>
      </c>
      <c r="E163" s="13" t="inlineStr">
        <is>
          <t>a</t>
        </is>
      </c>
      <c r="F163" s="13" t="inlineStr">
        <is>
          <t>Current</t>
        </is>
      </c>
      <c r="G163" s="13" t="inlineStr">
        <is>
          <t>Enterprise/RAG</t>
        </is>
      </c>
      <c r="H163" s="13" t="inlineStr">
        <is>
          <t>Amazon Bedrock (Kiro)</t>
        </is>
      </c>
      <c r="I163" s="13" t="inlineStr">
        <is>
          <t>Aggregator</t>
        </is>
      </c>
      <c r="J163" s="13" t="inlineStr">
        <is>
          <t>Installed; login unverified</t>
        </is>
      </c>
      <c r="K163" s="13" t="inlineStr">
        <is>
          <t>metered (not configured)</t>
        </is>
      </c>
      <c r="L163" s="13" t="inlineStr">
        <is>
          <t>No</t>
        </is>
      </c>
      <c r="M163" s="13" t="n">
        <v>7.6</v>
      </c>
      <c r="N163" s="13" t="n">
        <v>7</v>
      </c>
      <c r="O163" s="13" t="n">
        <v>7.4</v>
      </c>
      <c r="P163" s="13" t="n">
        <v>7.6</v>
      </c>
      <c r="Q163" s="13">
        <f>IFERROR(ROUND(AVERAGE(M163:P163),1),"")</f>
        <v/>
      </c>
      <c r="R163" s="13" t="n">
        <v>7.2</v>
      </c>
      <c r="S163" s="13" t="n">
        <v>6.6</v>
      </c>
      <c r="T163" s="13" t="n">
        <v>6.8</v>
      </c>
      <c r="U163" s="13" t="n">
        <v>7.2</v>
      </c>
      <c r="V163" s="13">
        <f>IFERROR(ROUND(AVERAGE(R163:U163),1),"")</f>
        <v/>
      </c>
      <c r="W163" s="13" t="n">
        <v>8</v>
      </c>
      <c r="X163" s="13" t="n">
        <v>7.6</v>
      </c>
      <c r="Y163" s="13" t="n">
        <v>7</v>
      </c>
      <c r="Z163" s="13" t="n">
        <v>8</v>
      </c>
      <c r="AA163" s="13">
        <f>IFERROR(ROUND(AVERAGE(W163:Z163),1),"")</f>
        <v/>
      </c>
      <c r="AB163" s="13" t="n">
        <v>7.8</v>
      </c>
      <c r="AC163" s="13" t="n">
        <v>7.8</v>
      </c>
      <c r="AD163" s="13" t="n">
        <v>7.8</v>
      </c>
      <c r="AE163" s="13" t="n">
        <v>8.199999999999999</v>
      </c>
      <c r="AF163" s="13">
        <f>IFERROR(ROUND(AVERAGE(AB163:AE163),1),"")</f>
        <v/>
      </c>
      <c r="AG163" s="13" t="n">
        <v>7.4</v>
      </c>
      <c r="AH163" s="13" t="n">
        <v>6.8</v>
      </c>
      <c r="AI163" s="13" t="n">
        <v>7.8</v>
      </c>
      <c r="AJ163" s="13" t="n">
        <v>7.4</v>
      </c>
      <c r="AK163" s="13">
        <f>IFERROR(ROUND(AVERAGE(AG163:AJ163),1),"")</f>
        <v/>
      </c>
      <c r="AL163" s="13" t="inlineStr"/>
      <c r="AM163" s="13" t="inlineStr"/>
      <c r="AN163" s="13" t="inlineStr"/>
      <c r="AO163" s="13">
        <f>IFERROR(ROUND(AVERAGE(AL163:AN163),1),"")</f>
        <v/>
      </c>
      <c r="AP163" s="13" t="n">
        <v>8</v>
      </c>
      <c r="AQ163" s="13" t="n">
        <v>8</v>
      </c>
      <c r="AR163" s="13" t="n">
        <v>7</v>
      </c>
      <c r="AS163" s="13" t="n">
        <v>7.5</v>
      </c>
      <c r="AT163" s="13">
        <f>IFERROR(ROUND(AVERAGE(AP163:AS163),1),"")</f>
        <v/>
      </c>
      <c r="AU163" s="13" t="n">
        <v>7.8</v>
      </c>
      <c r="AV163" s="13" t="n">
        <v>7.8</v>
      </c>
      <c r="AW163" s="13" t="n">
        <v>8</v>
      </c>
      <c r="AX163" s="13" t="n">
        <v>7.6</v>
      </c>
      <c r="AY163" s="13">
        <f>IFERROR(ROUND(AVERAGE(AU163:AX163),1),"")</f>
        <v/>
      </c>
      <c r="AZ163" s="13">
        <f>ROUND(0.19*N(Q163)+0.17*N(V163)+0.17*N(AA163)+0.1*N(AF163)+0.09*N(AK163)+0.12*N(AT163)+0.16*N(AY163),1)</f>
        <v/>
      </c>
      <c r="BA163" s="13" t="inlineStr">
        <is>
          <t>256K</t>
        </is>
      </c>
      <c r="BB163" s="13" t="n"/>
      <c r="BC163" s="13" t="inlineStr"/>
      <c r="BD163" s="13" t="inlineStr"/>
      <c r="BE163" s="13" t="inlineStr">
        <is>
          <t>high</t>
        </is>
      </c>
      <c r="BF163" s="13" t="n">
        <v>4</v>
      </c>
      <c r="BG163" s="13" t="n">
        <v>4</v>
      </c>
      <c r="BH163" s="13" t="inlineStr">
        <is>
          <t>Enterprise RAG/tool use</t>
        </is>
      </c>
      <c r="BI163" s="13" t="inlineStr"/>
      <c r="BJ163" s="15" t="inlineStr">
        <is>
          <t>M</t>
        </is>
      </c>
      <c r="BK163" s="13" t="inlineStr">
        <is>
          <t>Cohere current; family-inherited estimate (scaled from flagship); verify before HIGH-stakes routing</t>
        </is>
      </c>
      <c r="BL163" s="13" t="inlineStr">
        <is>
          <t>2026-06-07</t>
        </is>
      </c>
    </row>
    <row r="164">
      <c r="A164" s="13" t="inlineStr">
        <is>
          <t>command-r-plus</t>
        </is>
      </c>
      <c r="B164" s="13" t="inlineStr">
        <is>
          <t>Command R+</t>
        </is>
      </c>
      <c r="C164" s="13" t="inlineStr">
        <is>
          <t>Cohere</t>
        </is>
      </c>
      <c r="D164" s="13" t="inlineStr">
        <is>
          <t>Command R</t>
        </is>
      </c>
      <c r="E164" s="13" t="inlineStr">
        <is>
          <t>r-plus</t>
        </is>
      </c>
      <c r="F164" s="13" t="inlineStr">
        <is>
          <t>Legacy</t>
        </is>
      </c>
      <c r="G164" s="13" t="inlineStr">
        <is>
          <t>Enterprise/RAG</t>
        </is>
      </c>
      <c r="H164" s="13" t="inlineStr">
        <is>
          <t>Cohere API</t>
        </is>
      </c>
      <c r="I164" s="13" t="inlineStr">
        <is>
          <t>HTTP API</t>
        </is>
      </c>
      <c r="J164" s="13" t="inlineStr">
        <is>
          <t>Not-keyed</t>
        </is>
      </c>
      <c r="K164" s="13" t="inlineStr">
        <is>
          <t>metered (not configured)</t>
        </is>
      </c>
      <c r="L164" s="13" t="inlineStr">
        <is>
          <t>No</t>
        </is>
      </c>
      <c r="M164" s="13" t="n">
        <v>7.2</v>
      </c>
      <c r="N164" s="13" t="n">
        <v>6.6</v>
      </c>
      <c r="O164" s="13" t="n">
        <v>7.2</v>
      </c>
      <c r="P164" s="13" t="n">
        <v>7.2</v>
      </c>
      <c r="Q164" s="13">
        <f>IFERROR(ROUND(AVERAGE(M164:P164),1),"")</f>
        <v/>
      </c>
      <c r="R164" s="13" t="n">
        <v>6.8</v>
      </c>
      <c r="S164" s="13" t="n">
        <v>6.2</v>
      </c>
      <c r="T164" s="13" t="n">
        <v>6.4</v>
      </c>
      <c r="U164" s="13" t="n">
        <v>6.8</v>
      </c>
      <c r="V164" s="13">
        <f>IFERROR(ROUND(AVERAGE(R164:U164),1),"")</f>
        <v/>
      </c>
      <c r="W164" s="13" t="n">
        <v>7.6</v>
      </c>
      <c r="X164" s="13" t="n">
        <v>7.2</v>
      </c>
      <c r="Y164" s="13" t="n">
        <v>6.6</v>
      </c>
      <c r="Z164" s="13" t="n">
        <v>7.6</v>
      </c>
      <c r="AA164" s="13">
        <f>IFERROR(ROUND(AVERAGE(W164:Z164),1),"")</f>
        <v/>
      </c>
      <c r="AB164" s="13" t="n">
        <v>7.4</v>
      </c>
      <c r="AC164" s="13" t="n">
        <v>7.4</v>
      </c>
      <c r="AD164" s="13" t="n">
        <v>7.4</v>
      </c>
      <c r="AE164" s="13" t="n">
        <v>7.8</v>
      </c>
      <c r="AF164" s="13">
        <f>IFERROR(ROUND(AVERAGE(AB164:AE164),1),"")</f>
        <v/>
      </c>
      <c r="AG164" s="13" t="n">
        <v>7</v>
      </c>
      <c r="AH164" s="13" t="n">
        <v>6.4</v>
      </c>
      <c r="AI164" s="13" t="n">
        <v>7.4</v>
      </c>
      <c r="AJ164" s="13" t="n">
        <v>7</v>
      </c>
      <c r="AK164" s="13">
        <f>IFERROR(ROUND(AVERAGE(AG164:AJ164),1),"")</f>
        <v/>
      </c>
      <c r="AL164" s="13" t="inlineStr"/>
      <c r="AM164" s="13" t="inlineStr"/>
      <c r="AN164" s="13" t="inlineStr"/>
      <c r="AO164" s="13">
        <f>IFERROR(ROUND(AVERAGE(AL164:AN164),1),"")</f>
        <v/>
      </c>
      <c r="AP164" s="13" t="n">
        <v>8</v>
      </c>
      <c r="AQ164" s="13" t="n">
        <v>8</v>
      </c>
      <c r="AR164" s="13" t="n">
        <v>6</v>
      </c>
      <c r="AS164" s="13" t="n">
        <v>7.5</v>
      </c>
      <c r="AT164" s="13">
        <f>IFERROR(ROUND(AVERAGE(AP164:AS164),1),"")</f>
        <v/>
      </c>
      <c r="AU164" s="13" t="n">
        <v>7.6</v>
      </c>
      <c r="AV164" s="13" t="n">
        <v>7.6</v>
      </c>
      <c r="AW164" s="13" t="n">
        <v>7.8</v>
      </c>
      <c r="AX164" s="13" t="n">
        <v>7.4</v>
      </c>
      <c r="AY164" s="13">
        <f>IFERROR(ROUND(AVERAGE(AU164:AX164),1),"")</f>
        <v/>
      </c>
      <c r="AZ164" s="13">
        <f>ROUND(0.19*N(Q164)+0.17*N(V164)+0.17*N(AA164)+0.1*N(AF164)+0.09*N(AK164)+0.12*N(AT164)+0.16*N(AY164),1)</f>
        <v/>
      </c>
      <c r="BA164" s="13" t="inlineStr">
        <is>
          <t>128K</t>
        </is>
      </c>
      <c r="BB164" s="13" t="n"/>
      <c r="BC164" s="13" t="n">
        <v>2.5</v>
      </c>
      <c r="BD164" s="13" t="n">
        <v>10</v>
      </c>
      <c r="BE164" s="13" t="inlineStr">
        <is>
          <t>high</t>
        </is>
      </c>
      <c r="BF164" s="13" t="n">
        <v>4</v>
      </c>
      <c r="BG164" s="13" t="n">
        <v>4</v>
      </c>
      <c r="BH164" s="13" t="inlineStr">
        <is>
          <t>RAG with citations, tool use</t>
        </is>
      </c>
      <c r="BI164" s="13" t="inlineStr"/>
      <c r="BJ164" s="15" t="inlineStr">
        <is>
          <t>M</t>
        </is>
      </c>
      <c r="BK164" s="13" t="inlineStr">
        <is>
          <t>R+ ($2.50/$10); family-inherited estimate (scaled from flagship); verify before HIGH-stakes routing</t>
        </is>
      </c>
      <c r="BL164" s="13" t="inlineStr">
        <is>
          <t>2026-06-07</t>
        </is>
      </c>
    </row>
    <row r="165">
      <c r="A165" s="13" t="inlineStr">
        <is>
          <t>command-r-plus</t>
        </is>
      </c>
      <c r="B165" s="13" t="inlineStr">
        <is>
          <t>Command R+</t>
        </is>
      </c>
      <c r="C165" s="13" t="inlineStr">
        <is>
          <t>Cohere</t>
        </is>
      </c>
      <c r="D165" s="13" t="inlineStr">
        <is>
          <t>Command R</t>
        </is>
      </c>
      <c r="E165" s="13" t="inlineStr">
        <is>
          <t>r-plus</t>
        </is>
      </c>
      <c r="F165" s="13" t="inlineStr">
        <is>
          <t>Legacy</t>
        </is>
      </c>
      <c r="G165" s="13" t="inlineStr">
        <is>
          <t>Enterprise/RAG</t>
        </is>
      </c>
      <c r="H165" s="13" t="inlineStr">
        <is>
          <t>Amazon Bedrock (Kiro)</t>
        </is>
      </c>
      <c r="I165" s="13" t="inlineStr">
        <is>
          <t>Aggregator</t>
        </is>
      </c>
      <c r="J165" s="13" t="inlineStr">
        <is>
          <t>Installed; login unverified</t>
        </is>
      </c>
      <c r="K165" s="13" t="inlineStr">
        <is>
          <t>metered (not configured)</t>
        </is>
      </c>
      <c r="L165" s="13" t="inlineStr">
        <is>
          <t>No</t>
        </is>
      </c>
      <c r="M165" s="13" t="n">
        <v>7.2</v>
      </c>
      <c r="N165" s="13" t="n">
        <v>6.6</v>
      </c>
      <c r="O165" s="13" t="n">
        <v>7.2</v>
      </c>
      <c r="P165" s="13" t="n">
        <v>7.2</v>
      </c>
      <c r="Q165" s="13">
        <f>IFERROR(ROUND(AVERAGE(M165:P165),1),"")</f>
        <v/>
      </c>
      <c r="R165" s="13" t="n">
        <v>6.8</v>
      </c>
      <c r="S165" s="13" t="n">
        <v>6.2</v>
      </c>
      <c r="T165" s="13" t="n">
        <v>6.4</v>
      </c>
      <c r="U165" s="13" t="n">
        <v>6.8</v>
      </c>
      <c r="V165" s="13">
        <f>IFERROR(ROUND(AVERAGE(R165:U165),1),"")</f>
        <v/>
      </c>
      <c r="W165" s="13" t="n">
        <v>7.6</v>
      </c>
      <c r="X165" s="13" t="n">
        <v>7.2</v>
      </c>
      <c r="Y165" s="13" t="n">
        <v>6.6</v>
      </c>
      <c r="Z165" s="13" t="n">
        <v>7.6</v>
      </c>
      <c r="AA165" s="13">
        <f>IFERROR(ROUND(AVERAGE(W165:Z165),1),"")</f>
        <v/>
      </c>
      <c r="AB165" s="13" t="n">
        <v>7.4</v>
      </c>
      <c r="AC165" s="13" t="n">
        <v>7.4</v>
      </c>
      <c r="AD165" s="13" t="n">
        <v>7.4</v>
      </c>
      <c r="AE165" s="13" t="n">
        <v>7.8</v>
      </c>
      <c r="AF165" s="13">
        <f>IFERROR(ROUND(AVERAGE(AB165:AE165),1),"")</f>
        <v/>
      </c>
      <c r="AG165" s="13" t="n">
        <v>7</v>
      </c>
      <c r="AH165" s="13" t="n">
        <v>6.4</v>
      </c>
      <c r="AI165" s="13" t="n">
        <v>7.4</v>
      </c>
      <c r="AJ165" s="13" t="n">
        <v>7</v>
      </c>
      <c r="AK165" s="13">
        <f>IFERROR(ROUND(AVERAGE(AG165:AJ165),1),"")</f>
        <v/>
      </c>
      <c r="AL165" s="13" t="inlineStr"/>
      <c r="AM165" s="13" t="inlineStr"/>
      <c r="AN165" s="13" t="inlineStr"/>
      <c r="AO165" s="13">
        <f>IFERROR(ROUND(AVERAGE(AL165:AN165),1),"")</f>
        <v/>
      </c>
      <c r="AP165" s="13" t="n">
        <v>8</v>
      </c>
      <c r="AQ165" s="13" t="n">
        <v>8</v>
      </c>
      <c r="AR165" s="13" t="n">
        <v>6</v>
      </c>
      <c r="AS165" s="13" t="n">
        <v>7.5</v>
      </c>
      <c r="AT165" s="13">
        <f>IFERROR(ROUND(AVERAGE(AP165:AS165),1),"")</f>
        <v/>
      </c>
      <c r="AU165" s="13" t="n">
        <v>7.6</v>
      </c>
      <c r="AV165" s="13" t="n">
        <v>7.6</v>
      </c>
      <c r="AW165" s="13" t="n">
        <v>7.8</v>
      </c>
      <c r="AX165" s="13" t="n">
        <v>7.4</v>
      </c>
      <c r="AY165" s="13">
        <f>IFERROR(ROUND(AVERAGE(AU165:AX165),1),"")</f>
        <v/>
      </c>
      <c r="AZ165" s="13">
        <f>ROUND(0.19*N(Q165)+0.17*N(V165)+0.17*N(AA165)+0.1*N(AF165)+0.09*N(AK165)+0.12*N(AT165)+0.16*N(AY165),1)</f>
        <v/>
      </c>
      <c r="BA165" s="13" t="inlineStr">
        <is>
          <t>128K</t>
        </is>
      </c>
      <c r="BB165" s="13" t="n"/>
      <c r="BC165" s="13" t="n">
        <v>2.5</v>
      </c>
      <c r="BD165" s="13" t="n">
        <v>10</v>
      </c>
      <c r="BE165" s="13" t="inlineStr">
        <is>
          <t>high</t>
        </is>
      </c>
      <c r="BF165" s="13" t="n">
        <v>4</v>
      </c>
      <c r="BG165" s="13" t="n">
        <v>4</v>
      </c>
      <c r="BH165" s="13" t="inlineStr">
        <is>
          <t>RAG with citations, tool use</t>
        </is>
      </c>
      <c r="BI165" s="13" t="inlineStr"/>
      <c r="BJ165" s="15" t="inlineStr">
        <is>
          <t>M</t>
        </is>
      </c>
      <c r="BK165" s="13" t="inlineStr">
        <is>
          <t>R+ ($2.50/$10); family-inherited estimate (scaled from flagship); verify before HIGH-stakes routing</t>
        </is>
      </c>
      <c r="BL165" s="13" t="inlineStr">
        <is>
          <t>2026-06-07</t>
        </is>
      </c>
    </row>
    <row r="166">
      <c r="A166" s="13" t="inlineStr">
        <is>
          <t>command-r</t>
        </is>
      </c>
      <c r="B166" s="13" t="inlineStr">
        <is>
          <t>Command R</t>
        </is>
      </c>
      <c r="C166" s="13" t="inlineStr">
        <is>
          <t>Cohere</t>
        </is>
      </c>
      <c r="D166" s="13" t="inlineStr">
        <is>
          <t>Command R</t>
        </is>
      </c>
      <c r="E166" s="13" t="inlineStr">
        <is>
          <t>r</t>
        </is>
      </c>
      <c r="F166" s="13" t="inlineStr">
        <is>
          <t>Legacy</t>
        </is>
      </c>
      <c r="G166" s="13" t="inlineStr">
        <is>
          <t>Enterprise (cheap)</t>
        </is>
      </c>
      <c r="H166" s="13" t="inlineStr">
        <is>
          <t>Cohere API</t>
        </is>
      </c>
      <c r="I166" s="13" t="inlineStr">
        <is>
          <t>HTTP API</t>
        </is>
      </c>
      <c r="J166" s="13" t="inlineStr">
        <is>
          <t>Not-keyed</t>
        </is>
      </c>
      <c r="K166" s="13" t="inlineStr">
        <is>
          <t>metered (not configured)</t>
        </is>
      </c>
      <c r="L166" s="13" t="inlineStr">
        <is>
          <t>No</t>
        </is>
      </c>
      <c r="M166" s="13" t="n">
        <v>6.6</v>
      </c>
      <c r="N166" s="13" t="n">
        <v>6</v>
      </c>
      <c r="O166" s="13" t="n">
        <v>6.6</v>
      </c>
      <c r="P166" s="13" t="n">
        <v>6.6</v>
      </c>
      <c r="Q166" s="13">
        <f>IFERROR(ROUND(AVERAGE(M166:P166),1),"")</f>
        <v/>
      </c>
      <c r="R166" s="13" t="n">
        <v>6.2</v>
      </c>
      <c r="S166" s="13" t="n">
        <v>5.6</v>
      </c>
      <c r="T166" s="13" t="n">
        <v>5.8</v>
      </c>
      <c r="U166" s="13" t="n">
        <v>6.2</v>
      </c>
      <c r="V166" s="13">
        <f>IFERROR(ROUND(AVERAGE(R166:U166),1),"")</f>
        <v/>
      </c>
      <c r="W166" s="13" t="n">
        <v>7</v>
      </c>
      <c r="X166" s="13" t="n">
        <v>6.6</v>
      </c>
      <c r="Y166" s="13" t="n">
        <v>6</v>
      </c>
      <c r="Z166" s="13" t="n">
        <v>7</v>
      </c>
      <c r="AA166" s="13">
        <f>IFERROR(ROUND(AVERAGE(W166:Z166),1),"")</f>
        <v/>
      </c>
      <c r="AB166" s="13" t="n">
        <v>6.8</v>
      </c>
      <c r="AC166" s="13" t="n">
        <v>6.8</v>
      </c>
      <c r="AD166" s="13" t="n">
        <v>6.8</v>
      </c>
      <c r="AE166" s="13" t="n">
        <v>7.2</v>
      </c>
      <c r="AF166" s="13">
        <f>IFERROR(ROUND(AVERAGE(AB166:AE166),1),"")</f>
        <v/>
      </c>
      <c r="AG166" s="13" t="n">
        <v>6.4</v>
      </c>
      <c r="AH166" s="13" t="n">
        <v>5.8</v>
      </c>
      <c r="AI166" s="13" t="n">
        <v>6.8</v>
      </c>
      <c r="AJ166" s="13" t="n">
        <v>6.4</v>
      </c>
      <c r="AK166" s="13">
        <f>IFERROR(ROUND(AVERAGE(AG166:AJ166),1),"")</f>
        <v/>
      </c>
      <c r="AL166" s="13" t="inlineStr"/>
      <c r="AM166" s="13" t="inlineStr"/>
      <c r="AN166" s="13" t="inlineStr"/>
      <c r="AO166" s="13">
        <f>IFERROR(ROUND(AVERAGE(AL166:AN166),1),"")</f>
        <v/>
      </c>
      <c r="AP166" s="13" t="n">
        <v>8.6</v>
      </c>
      <c r="AQ166" s="13" t="n">
        <v>8.6</v>
      </c>
      <c r="AR166" s="13" t="n">
        <v>6</v>
      </c>
      <c r="AS166" s="13" t="n">
        <v>9</v>
      </c>
      <c r="AT166" s="13">
        <f>IFERROR(ROUND(AVERAGE(AP166:AS166),1),"")</f>
        <v/>
      </c>
      <c r="AU166" s="13" t="n">
        <v>7.2</v>
      </c>
      <c r="AV166" s="13" t="n">
        <v>7.2</v>
      </c>
      <c r="AW166" s="13" t="n">
        <v>7.4</v>
      </c>
      <c r="AX166" s="13" t="n">
        <v>7</v>
      </c>
      <c r="AY166" s="13">
        <f>IFERROR(ROUND(AVERAGE(AU166:AX166),1),"")</f>
        <v/>
      </c>
      <c r="AZ166" s="13">
        <f>ROUND(0.19*N(Q166)+0.17*N(V166)+0.17*N(AA166)+0.1*N(AF166)+0.09*N(AK166)+0.12*N(AT166)+0.16*N(AY166),1)</f>
        <v/>
      </c>
      <c r="BA166" s="13" t="inlineStr">
        <is>
          <t>128K</t>
        </is>
      </c>
      <c r="BB166" s="13" t="n"/>
      <c r="BC166" s="13" t="n">
        <v>0.15</v>
      </c>
      <c r="BD166" s="13" t="n">
        <v>0.6</v>
      </c>
      <c r="BE166" s="13" t="inlineStr">
        <is>
          <t>medium</t>
        </is>
      </c>
      <c r="BF166" s="13" t="n">
        <v>3</v>
      </c>
      <c r="BG166" s="13" t="n">
        <v>3</v>
      </c>
      <c r="BH166" s="13" t="inlineStr">
        <is>
          <t>Cheap RAG/chat</t>
        </is>
      </c>
      <c r="BI166" s="13" t="inlineStr"/>
      <c r="BJ166" s="15" t="inlineStr">
        <is>
          <t>M</t>
        </is>
      </c>
      <c r="BK166" s="13" t="inlineStr">
        <is>
          <t>R ($0.15/$0.60); family-inherited estimate (scaled from flagship); verify before HIGH-stakes routing</t>
        </is>
      </c>
      <c r="BL166" s="13" t="inlineStr">
        <is>
          <t>2026-06-07</t>
        </is>
      </c>
    </row>
    <row r="167">
      <c r="A167" s="13" t="inlineStr">
        <is>
          <t>command-r</t>
        </is>
      </c>
      <c r="B167" s="13" t="inlineStr">
        <is>
          <t>Command R</t>
        </is>
      </c>
      <c r="C167" s="13" t="inlineStr">
        <is>
          <t>Cohere</t>
        </is>
      </c>
      <c r="D167" s="13" t="inlineStr">
        <is>
          <t>Command R</t>
        </is>
      </c>
      <c r="E167" s="13" t="inlineStr">
        <is>
          <t>r</t>
        </is>
      </c>
      <c r="F167" s="13" t="inlineStr">
        <is>
          <t>Legacy</t>
        </is>
      </c>
      <c r="G167" s="13" t="inlineStr">
        <is>
          <t>Enterprise (cheap)</t>
        </is>
      </c>
      <c r="H167" s="13" t="inlineStr">
        <is>
          <t>Amazon Bedrock (Kiro)</t>
        </is>
      </c>
      <c r="I167" s="13" t="inlineStr">
        <is>
          <t>Aggregator</t>
        </is>
      </c>
      <c r="J167" s="13" t="inlineStr">
        <is>
          <t>Installed; login unverified</t>
        </is>
      </c>
      <c r="K167" s="13" t="inlineStr">
        <is>
          <t>metered (not configured)</t>
        </is>
      </c>
      <c r="L167" s="13" t="inlineStr">
        <is>
          <t>No</t>
        </is>
      </c>
      <c r="M167" s="13" t="n">
        <v>6.6</v>
      </c>
      <c r="N167" s="13" t="n">
        <v>6</v>
      </c>
      <c r="O167" s="13" t="n">
        <v>6.6</v>
      </c>
      <c r="P167" s="13" t="n">
        <v>6.6</v>
      </c>
      <c r="Q167" s="13">
        <f>IFERROR(ROUND(AVERAGE(M167:P167),1),"")</f>
        <v/>
      </c>
      <c r="R167" s="13" t="n">
        <v>6.2</v>
      </c>
      <c r="S167" s="13" t="n">
        <v>5.6</v>
      </c>
      <c r="T167" s="13" t="n">
        <v>5.8</v>
      </c>
      <c r="U167" s="13" t="n">
        <v>6.2</v>
      </c>
      <c r="V167" s="13">
        <f>IFERROR(ROUND(AVERAGE(R167:U167),1),"")</f>
        <v/>
      </c>
      <c r="W167" s="13" t="n">
        <v>7</v>
      </c>
      <c r="X167" s="13" t="n">
        <v>6.6</v>
      </c>
      <c r="Y167" s="13" t="n">
        <v>6</v>
      </c>
      <c r="Z167" s="13" t="n">
        <v>7</v>
      </c>
      <c r="AA167" s="13">
        <f>IFERROR(ROUND(AVERAGE(W167:Z167),1),"")</f>
        <v/>
      </c>
      <c r="AB167" s="13" t="n">
        <v>6.8</v>
      </c>
      <c r="AC167" s="13" t="n">
        <v>6.8</v>
      </c>
      <c r="AD167" s="13" t="n">
        <v>6.8</v>
      </c>
      <c r="AE167" s="13" t="n">
        <v>7.2</v>
      </c>
      <c r="AF167" s="13">
        <f>IFERROR(ROUND(AVERAGE(AB167:AE167),1),"")</f>
        <v/>
      </c>
      <c r="AG167" s="13" t="n">
        <v>6.4</v>
      </c>
      <c r="AH167" s="13" t="n">
        <v>5.8</v>
      </c>
      <c r="AI167" s="13" t="n">
        <v>6.8</v>
      </c>
      <c r="AJ167" s="13" t="n">
        <v>6.4</v>
      </c>
      <c r="AK167" s="13">
        <f>IFERROR(ROUND(AVERAGE(AG167:AJ167),1),"")</f>
        <v/>
      </c>
      <c r="AL167" s="13" t="inlineStr"/>
      <c r="AM167" s="13" t="inlineStr"/>
      <c r="AN167" s="13" t="inlineStr"/>
      <c r="AO167" s="13">
        <f>IFERROR(ROUND(AVERAGE(AL167:AN167),1),"")</f>
        <v/>
      </c>
      <c r="AP167" s="13" t="n">
        <v>8.6</v>
      </c>
      <c r="AQ167" s="13" t="n">
        <v>8.6</v>
      </c>
      <c r="AR167" s="13" t="n">
        <v>6</v>
      </c>
      <c r="AS167" s="13" t="n">
        <v>9</v>
      </c>
      <c r="AT167" s="13">
        <f>IFERROR(ROUND(AVERAGE(AP167:AS167),1),"")</f>
        <v/>
      </c>
      <c r="AU167" s="13" t="n">
        <v>7.2</v>
      </c>
      <c r="AV167" s="13" t="n">
        <v>7.2</v>
      </c>
      <c r="AW167" s="13" t="n">
        <v>7.4</v>
      </c>
      <c r="AX167" s="13" t="n">
        <v>7</v>
      </c>
      <c r="AY167" s="13">
        <f>IFERROR(ROUND(AVERAGE(AU167:AX167),1),"")</f>
        <v/>
      </c>
      <c r="AZ167" s="13">
        <f>ROUND(0.19*N(Q167)+0.17*N(V167)+0.17*N(AA167)+0.1*N(AF167)+0.09*N(AK167)+0.12*N(AT167)+0.16*N(AY167),1)</f>
        <v/>
      </c>
      <c r="BA167" s="13" t="inlineStr">
        <is>
          <t>128K</t>
        </is>
      </c>
      <c r="BB167" s="13" t="n"/>
      <c r="BC167" s="13" t="n">
        <v>0.15</v>
      </c>
      <c r="BD167" s="13" t="n">
        <v>0.6</v>
      </c>
      <c r="BE167" s="13" t="inlineStr">
        <is>
          <t>medium</t>
        </is>
      </c>
      <c r="BF167" s="13" t="n">
        <v>3</v>
      </c>
      <c r="BG167" s="13" t="n">
        <v>3</v>
      </c>
      <c r="BH167" s="13" t="inlineStr">
        <is>
          <t>Cheap RAG/chat</t>
        </is>
      </c>
      <c r="BI167" s="13" t="inlineStr"/>
      <c r="BJ167" s="15" t="inlineStr">
        <is>
          <t>M</t>
        </is>
      </c>
      <c r="BK167" s="13" t="inlineStr">
        <is>
          <t>R ($0.15/$0.60); family-inherited estimate (scaled from flagship); verify before HIGH-stakes routing</t>
        </is>
      </c>
      <c r="BL167" s="13" t="inlineStr">
        <is>
          <t>2026-06-07</t>
        </is>
      </c>
    </row>
    <row r="168">
      <c r="A168" s="13" t="inlineStr">
        <is>
          <t>qwen3.7-max</t>
        </is>
      </c>
      <c r="B168" s="13" t="inlineStr">
        <is>
          <t>Qwen3.7 Max</t>
        </is>
      </c>
      <c r="C168" s="13" t="inlineStr">
        <is>
          <t>Alibaba</t>
        </is>
      </c>
      <c r="D168" s="13" t="inlineStr">
        <is>
          <t>Qwen3.7</t>
        </is>
      </c>
      <c r="E168" s="13" t="inlineStr">
        <is>
          <t>3.7-max</t>
        </is>
      </c>
      <c r="F168" s="13" t="inlineStr">
        <is>
          <t>Current</t>
        </is>
      </c>
      <c r="G168" s="13" t="inlineStr">
        <is>
          <t>Open Flagship</t>
        </is>
      </c>
      <c r="H168" s="13" t="inlineStr">
        <is>
          <t>Alibaba DashScope</t>
        </is>
      </c>
      <c r="I168" s="13" t="inlineStr">
        <is>
          <t>HTTP API</t>
        </is>
      </c>
      <c r="J168" s="13" t="inlineStr">
        <is>
          <t>Not-keyed</t>
        </is>
      </c>
      <c r="K168" s="13" t="inlineStr">
        <is>
          <t>metered (not configured)</t>
        </is>
      </c>
      <c r="L168" s="13" t="inlineStr">
        <is>
          <t>No</t>
        </is>
      </c>
      <c r="M168" s="13" t="n">
        <v>8.800000000000001</v>
      </c>
      <c r="N168" s="13" t="n">
        <v>8.6</v>
      </c>
      <c r="O168" s="13" t="n">
        <v>8.4</v>
      </c>
      <c r="P168" s="13" t="n">
        <v>8.199999999999999</v>
      </c>
      <c r="Q168" s="13">
        <f>IFERROR(ROUND(AVERAGE(M168:P168),1),"")</f>
        <v/>
      </c>
      <c r="R168" s="13" t="n">
        <v>8.4</v>
      </c>
      <c r="S168" s="13" t="n">
        <v>8</v>
      </c>
      <c r="T168" s="13" t="n">
        <v>8.199999999999999</v>
      </c>
      <c r="U168" s="13" t="n">
        <v>8.4</v>
      </c>
      <c r="V168" s="13">
        <f>IFERROR(ROUND(AVERAGE(R168:U168),1),"")</f>
        <v/>
      </c>
      <c r="W168" s="13" t="n">
        <v>8.199999999999999</v>
      </c>
      <c r="X168" s="13" t="n">
        <v>8.199999999999999</v>
      </c>
      <c r="Y168" s="13" t="n">
        <v>7.8</v>
      </c>
      <c r="Z168" s="13" t="n">
        <v>8.199999999999999</v>
      </c>
      <c r="AA168" s="13">
        <f>IFERROR(ROUND(AVERAGE(W168:Z168),1),"")</f>
        <v/>
      </c>
      <c r="AB168" s="13" t="n">
        <v>8.199999999999999</v>
      </c>
      <c r="AC168" s="13" t="n">
        <v>8.199999999999999</v>
      </c>
      <c r="AD168" s="13" t="n">
        <v>8</v>
      </c>
      <c r="AE168" s="13" t="n">
        <v>8.6</v>
      </c>
      <c r="AF168" s="13">
        <f>IFERROR(ROUND(AVERAGE(AB168:AE168),1),"")</f>
        <v/>
      </c>
      <c r="AG168" s="13" t="n">
        <v>8</v>
      </c>
      <c r="AH168" s="13" t="n">
        <v>7.2</v>
      </c>
      <c r="AI168" s="13" t="n">
        <v>8.199999999999999</v>
      </c>
      <c r="AJ168" s="13" t="n">
        <v>8.4</v>
      </c>
      <c r="AK168" s="13">
        <f>IFERROR(ROUND(AVERAGE(AG168:AJ168),1),"")</f>
        <v/>
      </c>
      <c r="AL168" s="13" t="inlineStr"/>
      <c r="AM168" s="13" t="inlineStr"/>
      <c r="AN168" s="13" t="inlineStr"/>
      <c r="AO168" s="13">
        <f>IFERROR(ROUND(AVERAGE(AL168:AN168),1),"")</f>
        <v/>
      </c>
      <c r="AP168" s="13" t="n">
        <v>7.5</v>
      </c>
      <c r="AQ168" s="13" t="n">
        <v>7.5</v>
      </c>
      <c r="AR168" s="13" t="n">
        <v>8</v>
      </c>
      <c r="AS168" s="13" t="n">
        <v>8.5</v>
      </c>
      <c r="AT168" s="13">
        <f>IFERROR(ROUND(AVERAGE(AP168:AS168),1),"")</f>
        <v/>
      </c>
      <c r="AU168" s="13" t="n">
        <v>7.8</v>
      </c>
      <c r="AV168" s="13" t="n">
        <v>7.8</v>
      </c>
      <c r="AW168" s="13" t="n">
        <v>7.6</v>
      </c>
      <c r="AX168" s="13" t="n">
        <v>7.8</v>
      </c>
      <c r="AY168" s="13">
        <f>IFERROR(ROUND(AVERAGE(AU168:AX168),1),"")</f>
        <v/>
      </c>
      <c r="AZ168" s="13">
        <f>ROUND(0.19*N(Q168)+0.17*N(V168)+0.17*N(AA168)+0.1*N(AF168)+0.09*N(AK168)+0.12*N(AT168)+0.16*N(AY168),1)</f>
        <v/>
      </c>
      <c r="BA168" s="13" t="inlineStr">
        <is>
          <t>256K</t>
        </is>
      </c>
      <c r="BB168" s="13" t="n"/>
      <c r="BC168" s="13" t="inlineStr"/>
      <c r="BD168" s="13" t="inlineStr"/>
      <c r="BE168" s="13" t="inlineStr">
        <is>
          <t>high</t>
        </is>
      </c>
      <c r="BF168" s="13" t="n">
        <v>4</v>
      </c>
      <c r="BG168" s="13" t="n">
        <v>4</v>
      </c>
      <c r="BH168" s="13" t="inlineStr">
        <is>
          <t>Text-only flagship, strong multilingual/coding</t>
        </is>
      </c>
      <c r="BI168" s="13" t="inlineStr"/>
      <c r="BJ168" s="15" t="inlineStr">
        <is>
          <t>M</t>
        </is>
      </c>
      <c r="BK168" s="13" t="inlineStr">
        <is>
          <t>Qwen3.7 May 2026; family-inherited estimate (scaled from flagship); verify before HIGH-stakes routing</t>
        </is>
      </c>
      <c r="BL168" s="13" t="inlineStr">
        <is>
          <t>2026-06-07</t>
        </is>
      </c>
    </row>
    <row r="169">
      <c r="A169" s="13" t="inlineStr">
        <is>
          <t>qwen3.7-max</t>
        </is>
      </c>
      <c r="B169" s="13" t="inlineStr">
        <is>
          <t>Qwen3.7 Max</t>
        </is>
      </c>
      <c r="C169" s="13" t="inlineStr">
        <is>
          <t>Alibaba</t>
        </is>
      </c>
      <c r="D169" s="13" t="inlineStr">
        <is>
          <t>Qwen3.7</t>
        </is>
      </c>
      <c r="E169" s="13" t="inlineStr">
        <is>
          <t>3.7-max</t>
        </is>
      </c>
      <c r="F169" s="13" t="inlineStr">
        <is>
          <t>Current</t>
        </is>
      </c>
      <c r="G169" s="13" t="inlineStr">
        <is>
          <t>Open Flagship</t>
        </is>
      </c>
      <c r="H169" s="13" t="inlineStr">
        <is>
          <t>Ollama Cloud</t>
        </is>
      </c>
      <c r="I169" s="13" t="inlineStr">
        <is>
          <t>Aggregator</t>
        </is>
      </c>
      <c r="J169" s="13" t="inlineStr">
        <is>
          <t>Keyed + usage-tracked</t>
        </is>
      </c>
      <c r="K169" s="13" t="inlineStr">
        <is>
          <t>metered (tracked)</t>
        </is>
      </c>
      <c r="L169" s="13" t="inlineStr">
        <is>
          <t>No</t>
        </is>
      </c>
      <c r="M169" s="13" t="n">
        <v>8.800000000000001</v>
      </c>
      <c r="N169" s="13" t="n">
        <v>8.6</v>
      </c>
      <c r="O169" s="13" t="n">
        <v>8.4</v>
      </c>
      <c r="P169" s="13" t="n">
        <v>8.199999999999999</v>
      </c>
      <c r="Q169" s="13">
        <f>IFERROR(ROUND(AVERAGE(M169:P169),1),"")</f>
        <v/>
      </c>
      <c r="R169" s="13" t="n">
        <v>8.4</v>
      </c>
      <c r="S169" s="13" t="n">
        <v>8</v>
      </c>
      <c r="T169" s="13" t="n">
        <v>8.199999999999999</v>
      </c>
      <c r="U169" s="13" t="n">
        <v>8.4</v>
      </c>
      <c r="V169" s="13">
        <f>IFERROR(ROUND(AVERAGE(R169:U169),1),"")</f>
        <v/>
      </c>
      <c r="W169" s="13" t="n">
        <v>8.199999999999999</v>
      </c>
      <c r="X169" s="13" t="n">
        <v>8.199999999999999</v>
      </c>
      <c r="Y169" s="13" t="n">
        <v>7.8</v>
      </c>
      <c r="Z169" s="13" t="n">
        <v>8.199999999999999</v>
      </c>
      <c r="AA169" s="13">
        <f>IFERROR(ROUND(AVERAGE(W169:Z169),1),"")</f>
        <v/>
      </c>
      <c r="AB169" s="13" t="n">
        <v>8.199999999999999</v>
      </c>
      <c r="AC169" s="13" t="n">
        <v>8.199999999999999</v>
      </c>
      <c r="AD169" s="13" t="n">
        <v>8</v>
      </c>
      <c r="AE169" s="13" t="n">
        <v>8.6</v>
      </c>
      <c r="AF169" s="13">
        <f>IFERROR(ROUND(AVERAGE(AB169:AE169),1),"")</f>
        <v/>
      </c>
      <c r="AG169" s="13" t="n">
        <v>8</v>
      </c>
      <c r="AH169" s="13" t="n">
        <v>7.2</v>
      </c>
      <c r="AI169" s="13" t="n">
        <v>8.199999999999999</v>
      </c>
      <c r="AJ169" s="13" t="n">
        <v>8.4</v>
      </c>
      <c r="AK169" s="13">
        <f>IFERROR(ROUND(AVERAGE(AG169:AJ169),1),"")</f>
        <v/>
      </c>
      <c r="AL169" s="13" t="inlineStr"/>
      <c r="AM169" s="13" t="inlineStr"/>
      <c r="AN169" s="13" t="inlineStr"/>
      <c r="AO169" s="13">
        <f>IFERROR(ROUND(AVERAGE(AL169:AN169),1),"")</f>
        <v/>
      </c>
      <c r="AP169" s="13" t="n">
        <v>7.5</v>
      </c>
      <c r="AQ169" s="13" t="n">
        <v>7.5</v>
      </c>
      <c r="AR169" s="13" t="n">
        <v>8</v>
      </c>
      <c r="AS169" s="13" t="n">
        <v>8.5</v>
      </c>
      <c r="AT169" s="13">
        <f>IFERROR(ROUND(AVERAGE(AP169:AS169),1),"")</f>
        <v/>
      </c>
      <c r="AU169" s="13" t="n">
        <v>7.8</v>
      </c>
      <c r="AV169" s="13" t="n">
        <v>7.8</v>
      </c>
      <c r="AW169" s="13" t="n">
        <v>7.6</v>
      </c>
      <c r="AX169" s="13" t="n">
        <v>7.8</v>
      </c>
      <c r="AY169" s="13">
        <f>IFERROR(ROUND(AVERAGE(AU169:AX169),1),"")</f>
        <v/>
      </c>
      <c r="AZ169" s="13">
        <f>ROUND(0.19*N(Q169)+0.17*N(V169)+0.17*N(AA169)+0.1*N(AF169)+0.09*N(AK169)+0.12*N(AT169)+0.16*N(AY169),1)</f>
        <v/>
      </c>
      <c r="BA169" s="13" t="inlineStr">
        <is>
          <t>256K</t>
        </is>
      </c>
      <c r="BB169" s="13" t="n"/>
      <c r="BC169" s="13" t="inlineStr"/>
      <c r="BD169" s="13" t="inlineStr"/>
      <c r="BE169" s="13" t="inlineStr">
        <is>
          <t>high</t>
        </is>
      </c>
      <c r="BF169" s="13" t="n">
        <v>4</v>
      </c>
      <c r="BG169" s="13" t="n">
        <v>4</v>
      </c>
      <c r="BH169" s="13" t="inlineStr">
        <is>
          <t>Text-only flagship, strong multilingual/coding</t>
        </is>
      </c>
      <c r="BI169" s="13" t="inlineStr"/>
      <c r="BJ169" s="15" t="inlineStr">
        <is>
          <t>M</t>
        </is>
      </c>
      <c r="BK169" s="13" t="inlineStr">
        <is>
          <t>Qwen3.7 May 2026; family-inherited estimate (scaled from flagship); verify before HIGH-stakes routing</t>
        </is>
      </c>
      <c r="BL169" s="13" t="inlineStr">
        <is>
          <t>2026-06-07</t>
        </is>
      </c>
    </row>
    <row r="170">
      <c r="A170" s="13" t="inlineStr">
        <is>
          <t>qwen3.7-max</t>
        </is>
      </c>
      <c r="B170" s="13" t="inlineStr">
        <is>
          <t>Qwen3.7 Max</t>
        </is>
      </c>
      <c r="C170" s="13" t="inlineStr">
        <is>
          <t>Alibaba</t>
        </is>
      </c>
      <c r="D170" s="13" t="inlineStr">
        <is>
          <t>Qwen3.7</t>
        </is>
      </c>
      <c r="E170" s="13" t="inlineStr">
        <is>
          <t>3.7-max</t>
        </is>
      </c>
      <c r="F170" s="13" t="inlineStr">
        <is>
          <t>Current</t>
        </is>
      </c>
      <c r="G170" s="13" t="inlineStr">
        <is>
          <t>Open Flagship</t>
        </is>
      </c>
      <c r="H170" s="13" t="inlineStr">
        <is>
          <t>Together AI</t>
        </is>
      </c>
      <c r="I170" s="13" t="inlineStr">
        <is>
          <t>Aggregator</t>
        </is>
      </c>
      <c r="J170" s="13" t="inlineStr">
        <is>
          <t>Not-keyed</t>
        </is>
      </c>
      <c r="K170" s="13" t="inlineStr">
        <is>
          <t>metered (not configured)</t>
        </is>
      </c>
      <c r="L170" s="13" t="inlineStr">
        <is>
          <t>No</t>
        </is>
      </c>
      <c r="M170" s="13" t="n">
        <v>8.800000000000001</v>
      </c>
      <c r="N170" s="13" t="n">
        <v>8.6</v>
      </c>
      <c r="O170" s="13" t="n">
        <v>8.4</v>
      </c>
      <c r="P170" s="13" t="n">
        <v>8.199999999999999</v>
      </c>
      <c r="Q170" s="13">
        <f>IFERROR(ROUND(AVERAGE(M170:P170),1),"")</f>
        <v/>
      </c>
      <c r="R170" s="13" t="n">
        <v>8.4</v>
      </c>
      <c r="S170" s="13" t="n">
        <v>8</v>
      </c>
      <c r="T170" s="13" t="n">
        <v>8.199999999999999</v>
      </c>
      <c r="U170" s="13" t="n">
        <v>8.4</v>
      </c>
      <c r="V170" s="13">
        <f>IFERROR(ROUND(AVERAGE(R170:U170),1),"")</f>
        <v/>
      </c>
      <c r="W170" s="13" t="n">
        <v>8.199999999999999</v>
      </c>
      <c r="X170" s="13" t="n">
        <v>8.199999999999999</v>
      </c>
      <c r="Y170" s="13" t="n">
        <v>7.8</v>
      </c>
      <c r="Z170" s="13" t="n">
        <v>8.199999999999999</v>
      </c>
      <c r="AA170" s="13">
        <f>IFERROR(ROUND(AVERAGE(W170:Z170),1),"")</f>
        <v/>
      </c>
      <c r="AB170" s="13" t="n">
        <v>8.199999999999999</v>
      </c>
      <c r="AC170" s="13" t="n">
        <v>8.199999999999999</v>
      </c>
      <c r="AD170" s="13" t="n">
        <v>8</v>
      </c>
      <c r="AE170" s="13" t="n">
        <v>8.6</v>
      </c>
      <c r="AF170" s="13">
        <f>IFERROR(ROUND(AVERAGE(AB170:AE170),1),"")</f>
        <v/>
      </c>
      <c r="AG170" s="13" t="n">
        <v>8</v>
      </c>
      <c r="AH170" s="13" t="n">
        <v>7.2</v>
      </c>
      <c r="AI170" s="13" t="n">
        <v>8.199999999999999</v>
      </c>
      <c r="AJ170" s="13" t="n">
        <v>8.4</v>
      </c>
      <c r="AK170" s="13">
        <f>IFERROR(ROUND(AVERAGE(AG170:AJ170),1),"")</f>
        <v/>
      </c>
      <c r="AL170" s="13" t="inlineStr"/>
      <c r="AM170" s="13" t="inlineStr"/>
      <c r="AN170" s="13" t="inlineStr"/>
      <c r="AO170" s="13">
        <f>IFERROR(ROUND(AVERAGE(AL170:AN170),1),"")</f>
        <v/>
      </c>
      <c r="AP170" s="13" t="n">
        <v>7.5</v>
      </c>
      <c r="AQ170" s="13" t="n">
        <v>7.5</v>
      </c>
      <c r="AR170" s="13" t="n">
        <v>8</v>
      </c>
      <c r="AS170" s="13" t="n">
        <v>8.5</v>
      </c>
      <c r="AT170" s="13">
        <f>IFERROR(ROUND(AVERAGE(AP170:AS170),1),"")</f>
        <v/>
      </c>
      <c r="AU170" s="13" t="n">
        <v>7.8</v>
      </c>
      <c r="AV170" s="13" t="n">
        <v>7.8</v>
      </c>
      <c r="AW170" s="13" t="n">
        <v>7.6</v>
      </c>
      <c r="AX170" s="13" t="n">
        <v>7.8</v>
      </c>
      <c r="AY170" s="13">
        <f>IFERROR(ROUND(AVERAGE(AU170:AX170),1),"")</f>
        <v/>
      </c>
      <c r="AZ170" s="13">
        <f>ROUND(0.19*N(Q170)+0.17*N(V170)+0.17*N(AA170)+0.1*N(AF170)+0.09*N(AK170)+0.12*N(AT170)+0.16*N(AY170),1)</f>
        <v/>
      </c>
      <c r="BA170" s="13" t="inlineStr">
        <is>
          <t>256K</t>
        </is>
      </c>
      <c r="BB170" s="13" t="n"/>
      <c r="BC170" s="13" t="inlineStr"/>
      <c r="BD170" s="13" t="inlineStr"/>
      <c r="BE170" s="13" t="inlineStr">
        <is>
          <t>high</t>
        </is>
      </c>
      <c r="BF170" s="13" t="n">
        <v>4</v>
      </c>
      <c r="BG170" s="13" t="n">
        <v>4</v>
      </c>
      <c r="BH170" s="13" t="inlineStr">
        <is>
          <t>Text-only flagship, strong multilingual/coding</t>
        </is>
      </c>
      <c r="BI170" s="13" t="inlineStr"/>
      <c r="BJ170" s="15" t="inlineStr">
        <is>
          <t>M</t>
        </is>
      </c>
      <c r="BK170" s="13" t="inlineStr">
        <is>
          <t>Qwen3.7 May 2026; family-inherited estimate (scaled from flagship); verify before HIGH-stakes routing</t>
        </is>
      </c>
      <c r="BL170" s="13" t="inlineStr">
        <is>
          <t>2026-06-07</t>
        </is>
      </c>
    </row>
    <row r="171">
      <c r="A171" s="13" t="inlineStr">
        <is>
          <t>qwen3.7-max</t>
        </is>
      </c>
      <c r="B171" s="13" t="inlineStr">
        <is>
          <t>Qwen3.7 Max</t>
        </is>
      </c>
      <c r="C171" s="13" t="inlineStr">
        <is>
          <t>Alibaba</t>
        </is>
      </c>
      <c r="D171" s="13" t="inlineStr">
        <is>
          <t>Qwen3.7</t>
        </is>
      </c>
      <c r="E171" s="13" t="inlineStr">
        <is>
          <t>3.7-max</t>
        </is>
      </c>
      <c r="F171" s="13" t="inlineStr">
        <is>
          <t>Current</t>
        </is>
      </c>
      <c r="G171" s="13" t="inlineStr">
        <is>
          <t>Open Flagship</t>
        </is>
      </c>
      <c r="H171" s="13" t="inlineStr">
        <is>
          <t>Fireworks AI</t>
        </is>
      </c>
      <c r="I171" s="13" t="inlineStr">
        <is>
          <t>Aggregator</t>
        </is>
      </c>
      <c r="J171" s="13" t="inlineStr">
        <is>
          <t>Not-keyed</t>
        </is>
      </c>
      <c r="K171" s="13" t="inlineStr">
        <is>
          <t>metered (not configured)</t>
        </is>
      </c>
      <c r="L171" s="13" t="inlineStr">
        <is>
          <t>No</t>
        </is>
      </c>
      <c r="M171" s="13" t="n">
        <v>8.800000000000001</v>
      </c>
      <c r="N171" s="13" t="n">
        <v>8.6</v>
      </c>
      <c r="O171" s="13" t="n">
        <v>8.4</v>
      </c>
      <c r="P171" s="13" t="n">
        <v>8.199999999999999</v>
      </c>
      <c r="Q171" s="13">
        <f>IFERROR(ROUND(AVERAGE(M171:P171),1),"")</f>
        <v/>
      </c>
      <c r="R171" s="13" t="n">
        <v>8.4</v>
      </c>
      <c r="S171" s="13" t="n">
        <v>8</v>
      </c>
      <c r="T171" s="13" t="n">
        <v>8.199999999999999</v>
      </c>
      <c r="U171" s="13" t="n">
        <v>8.4</v>
      </c>
      <c r="V171" s="13">
        <f>IFERROR(ROUND(AVERAGE(R171:U171),1),"")</f>
        <v/>
      </c>
      <c r="W171" s="13" t="n">
        <v>8.199999999999999</v>
      </c>
      <c r="X171" s="13" t="n">
        <v>8.199999999999999</v>
      </c>
      <c r="Y171" s="13" t="n">
        <v>7.8</v>
      </c>
      <c r="Z171" s="13" t="n">
        <v>8.199999999999999</v>
      </c>
      <c r="AA171" s="13">
        <f>IFERROR(ROUND(AVERAGE(W171:Z171),1),"")</f>
        <v/>
      </c>
      <c r="AB171" s="13" t="n">
        <v>8.199999999999999</v>
      </c>
      <c r="AC171" s="13" t="n">
        <v>8.199999999999999</v>
      </c>
      <c r="AD171" s="13" t="n">
        <v>8</v>
      </c>
      <c r="AE171" s="13" t="n">
        <v>8.6</v>
      </c>
      <c r="AF171" s="13">
        <f>IFERROR(ROUND(AVERAGE(AB171:AE171),1),"")</f>
        <v/>
      </c>
      <c r="AG171" s="13" t="n">
        <v>8</v>
      </c>
      <c r="AH171" s="13" t="n">
        <v>7.2</v>
      </c>
      <c r="AI171" s="13" t="n">
        <v>8.199999999999999</v>
      </c>
      <c r="AJ171" s="13" t="n">
        <v>8.4</v>
      </c>
      <c r="AK171" s="13">
        <f>IFERROR(ROUND(AVERAGE(AG171:AJ171),1),"")</f>
        <v/>
      </c>
      <c r="AL171" s="13" t="inlineStr"/>
      <c r="AM171" s="13" t="inlineStr"/>
      <c r="AN171" s="13" t="inlineStr"/>
      <c r="AO171" s="13">
        <f>IFERROR(ROUND(AVERAGE(AL171:AN171),1),"")</f>
        <v/>
      </c>
      <c r="AP171" s="13" t="n">
        <v>7.5</v>
      </c>
      <c r="AQ171" s="13" t="n">
        <v>7.5</v>
      </c>
      <c r="AR171" s="13" t="n">
        <v>8</v>
      </c>
      <c r="AS171" s="13" t="n">
        <v>8.5</v>
      </c>
      <c r="AT171" s="13">
        <f>IFERROR(ROUND(AVERAGE(AP171:AS171),1),"")</f>
        <v/>
      </c>
      <c r="AU171" s="13" t="n">
        <v>7.8</v>
      </c>
      <c r="AV171" s="13" t="n">
        <v>7.8</v>
      </c>
      <c r="AW171" s="13" t="n">
        <v>7.6</v>
      </c>
      <c r="AX171" s="13" t="n">
        <v>7.8</v>
      </c>
      <c r="AY171" s="13">
        <f>IFERROR(ROUND(AVERAGE(AU171:AX171),1),"")</f>
        <v/>
      </c>
      <c r="AZ171" s="13">
        <f>ROUND(0.19*N(Q171)+0.17*N(V171)+0.17*N(AA171)+0.1*N(AF171)+0.09*N(AK171)+0.12*N(AT171)+0.16*N(AY171),1)</f>
        <v/>
      </c>
      <c r="BA171" s="13" t="inlineStr">
        <is>
          <t>256K</t>
        </is>
      </c>
      <c r="BB171" s="13" t="n"/>
      <c r="BC171" s="13" t="inlineStr"/>
      <c r="BD171" s="13" t="inlineStr"/>
      <c r="BE171" s="13" t="inlineStr">
        <is>
          <t>high</t>
        </is>
      </c>
      <c r="BF171" s="13" t="n">
        <v>4</v>
      </c>
      <c r="BG171" s="13" t="n">
        <v>4</v>
      </c>
      <c r="BH171" s="13" t="inlineStr">
        <is>
          <t>Text-only flagship, strong multilingual/coding</t>
        </is>
      </c>
      <c r="BI171" s="13" t="inlineStr"/>
      <c r="BJ171" s="15" t="inlineStr">
        <is>
          <t>M</t>
        </is>
      </c>
      <c r="BK171" s="13" t="inlineStr">
        <is>
          <t>Qwen3.7 May 2026; family-inherited estimate (scaled from flagship); verify before HIGH-stakes routing</t>
        </is>
      </c>
      <c r="BL171" s="13" t="inlineStr">
        <is>
          <t>2026-06-07</t>
        </is>
      </c>
    </row>
    <row r="172">
      <c r="A172" s="13" t="inlineStr">
        <is>
          <t>qwen3.7-max</t>
        </is>
      </c>
      <c r="B172" s="13" t="inlineStr">
        <is>
          <t>Qwen3.7 Max</t>
        </is>
      </c>
      <c r="C172" s="13" t="inlineStr">
        <is>
          <t>Alibaba</t>
        </is>
      </c>
      <c r="D172" s="13" t="inlineStr">
        <is>
          <t>Qwen3.7</t>
        </is>
      </c>
      <c r="E172" s="13" t="inlineStr">
        <is>
          <t>3.7-max</t>
        </is>
      </c>
      <c r="F172" s="13" t="inlineStr">
        <is>
          <t>Current</t>
        </is>
      </c>
      <c r="G172" s="13" t="inlineStr">
        <is>
          <t>Open Flagship</t>
        </is>
      </c>
      <c r="H172" s="13" t="inlineStr">
        <is>
          <t>OpenRouter</t>
        </is>
      </c>
      <c r="I172" s="13" t="inlineStr">
        <is>
          <t>Aggregator</t>
        </is>
      </c>
      <c r="J172" s="13" t="inlineStr">
        <is>
          <t>Not-keyed</t>
        </is>
      </c>
      <c r="K172" s="13" t="inlineStr">
        <is>
          <t>metered (not configured)</t>
        </is>
      </c>
      <c r="L172" s="13" t="inlineStr">
        <is>
          <t>No</t>
        </is>
      </c>
      <c r="M172" s="13" t="n">
        <v>8.800000000000001</v>
      </c>
      <c r="N172" s="13" t="n">
        <v>8.6</v>
      </c>
      <c r="O172" s="13" t="n">
        <v>8.4</v>
      </c>
      <c r="P172" s="13" t="n">
        <v>8.199999999999999</v>
      </c>
      <c r="Q172" s="13">
        <f>IFERROR(ROUND(AVERAGE(M172:P172),1),"")</f>
        <v/>
      </c>
      <c r="R172" s="13" t="n">
        <v>8.4</v>
      </c>
      <c r="S172" s="13" t="n">
        <v>8</v>
      </c>
      <c r="T172" s="13" t="n">
        <v>8.199999999999999</v>
      </c>
      <c r="U172" s="13" t="n">
        <v>8.4</v>
      </c>
      <c r="V172" s="13">
        <f>IFERROR(ROUND(AVERAGE(R172:U172),1),"")</f>
        <v/>
      </c>
      <c r="W172" s="13" t="n">
        <v>8.199999999999999</v>
      </c>
      <c r="X172" s="13" t="n">
        <v>8.199999999999999</v>
      </c>
      <c r="Y172" s="13" t="n">
        <v>7.8</v>
      </c>
      <c r="Z172" s="13" t="n">
        <v>8.199999999999999</v>
      </c>
      <c r="AA172" s="13">
        <f>IFERROR(ROUND(AVERAGE(W172:Z172),1),"")</f>
        <v/>
      </c>
      <c r="AB172" s="13" t="n">
        <v>8.199999999999999</v>
      </c>
      <c r="AC172" s="13" t="n">
        <v>8.199999999999999</v>
      </c>
      <c r="AD172" s="13" t="n">
        <v>8</v>
      </c>
      <c r="AE172" s="13" t="n">
        <v>8.6</v>
      </c>
      <c r="AF172" s="13">
        <f>IFERROR(ROUND(AVERAGE(AB172:AE172),1),"")</f>
        <v/>
      </c>
      <c r="AG172" s="13" t="n">
        <v>8</v>
      </c>
      <c r="AH172" s="13" t="n">
        <v>7.2</v>
      </c>
      <c r="AI172" s="13" t="n">
        <v>8.199999999999999</v>
      </c>
      <c r="AJ172" s="13" t="n">
        <v>8.4</v>
      </c>
      <c r="AK172" s="13">
        <f>IFERROR(ROUND(AVERAGE(AG172:AJ172),1),"")</f>
        <v/>
      </c>
      <c r="AL172" s="13" t="inlineStr"/>
      <c r="AM172" s="13" t="inlineStr"/>
      <c r="AN172" s="13" t="inlineStr"/>
      <c r="AO172" s="13">
        <f>IFERROR(ROUND(AVERAGE(AL172:AN172),1),"")</f>
        <v/>
      </c>
      <c r="AP172" s="13" t="n">
        <v>7.5</v>
      </c>
      <c r="AQ172" s="13" t="n">
        <v>7.5</v>
      </c>
      <c r="AR172" s="13" t="n">
        <v>8</v>
      </c>
      <c r="AS172" s="13" t="n">
        <v>8.5</v>
      </c>
      <c r="AT172" s="13">
        <f>IFERROR(ROUND(AVERAGE(AP172:AS172),1),"")</f>
        <v/>
      </c>
      <c r="AU172" s="13" t="n">
        <v>7.8</v>
      </c>
      <c r="AV172" s="13" t="n">
        <v>7.8</v>
      </c>
      <c r="AW172" s="13" t="n">
        <v>7.6</v>
      </c>
      <c r="AX172" s="13" t="n">
        <v>7.8</v>
      </c>
      <c r="AY172" s="13">
        <f>IFERROR(ROUND(AVERAGE(AU172:AX172),1),"")</f>
        <v/>
      </c>
      <c r="AZ172" s="13">
        <f>ROUND(0.19*N(Q172)+0.17*N(V172)+0.17*N(AA172)+0.1*N(AF172)+0.09*N(AK172)+0.12*N(AT172)+0.16*N(AY172),1)</f>
        <v/>
      </c>
      <c r="BA172" s="13" t="inlineStr">
        <is>
          <t>256K</t>
        </is>
      </c>
      <c r="BB172" s="13" t="n"/>
      <c r="BC172" s="13" t="inlineStr"/>
      <c r="BD172" s="13" t="inlineStr"/>
      <c r="BE172" s="13" t="inlineStr">
        <is>
          <t>high</t>
        </is>
      </c>
      <c r="BF172" s="13" t="n">
        <v>4</v>
      </c>
      <c r="BG172" s="13" t="n">
        <v>4</v>
      </c>
      <c r="BH172" s="13" t="inlineStr">
        <is>
          <t>Text-only flagship, strong multilingual/coding</t>
        </is>
      </c>
      <c r="BI172" s="13" t="inlineStr"/>
      <c r="BJ172" s="15" t="inlineStr">
        <is>
          <t>M</t>
        </is>
      </c>
      <c r="BK172" s="13" t="inlineStr">
        <is>
          <t>Qwen3.7 May 2026; family-inherited estimate (scaled from flagship); verify before HIGH-stakes routing</t>
        </is>
      </c>
      <c r="BL172" s="13" t="inlineStr">
        <is>
          <t>2026-06-07</t>
        </is>
      </c>
    </row>
    <row r="173">
      <c r="A173" s="13" t="inlineStr">
        <is>
          <t>qwen3.7-plus</t>
        </is>
      </c>
      <c r="B173" s="13" t="inlineStr">
        <is>
          <t>Qwen3.7 Plus</t>
        </is>
      </c>
      <c r="C173" s="13" t="inlineStr">
        <is>
          <t>Alibaba</t>
        </is>
      </c>
      <c r="D173" s="13" t="inlineStr">
        <is>
          <t>Qwen3.7</t>
        </is>
      </c>
      <c r="E173" s="13" t="inlineStr">
        <is>
          <t>3.7-plus</t>
        </is>
      </c>
      <c r="F173" s="13" t="inlineStr">
        <is>
          <t>Current</t>
        </is>
      </c>
      <c r="G173" s="13" t="inlineStr">
        <is>
          <t>Open Multimodal Flagship</t>
        </is>
      </c>
      <c r="H173" s="13" t="inlineStr">
        <is>
          <t>Alibaba DashScope</t>
        </is>
      </c>
      <c r="I173" s="13" t="inlineStr">
        <is>
          <t>HTTP API</t>
        </is>
      </c>
      <c r="J173" s="13" t="inlineStr">
        <is>
          <t>Not-keyed</t>
        </is>
      </c>
      <c r="K173" s="13" t="inlineStr">
        <is>
          <t>metered (not configured)</t>
        </is>
      </c>
      <c r="L173" s="13" t="inlineStr">
        <is>
          <t>No</t>
        </is>
      </c>
      <c r="M173" s="13" t="n">
        <v>8.6</v>
      </c>
      <c r="N173" s="13" t="n">
        <v>8.4</v>
      </c>
      <c r="O173" s="13" t="n">
        <v>8.199999999999999</v>
      </c>
      <c r="P173" s="13" t="n">
        <v>8</v>
      </c>
      <c r="Q173" s="13">
        <f>IFERROR(ROUND(AVERAGE(M173:P173),1),"")</f>
        <v/>
      </c>
      <c r="R173" s="13" t="n">
        <v>8.199999999999999</v>
      </c>
      <c r="S173" s="13" t="n">
        <v>7.8</v>
      </c>
      <c r="T173" s="13" t="n">
        <v>8</v>
      </c>
      <c r="U173" s="13" t="n">
        <v>8.199999999999999</v>
      </c>
      <c r="V173" s="13">
        <f>IFERROR(ROUND(AVERAGE(R173:U173),1),"")</f>
        <v/>
      </c>
      <c r="W173" s="13" t="n">
        <v>8.199999999999999</v>
      </c>
      <c r="X173" s="13" t="n">
        <v>8</v>
      </c>
      <c r="Y173" s="13" t="n">
        <v>7.8</v>
      </c>
      <c r="Z173" s="13" t="n">
        <v>8.199999999999999</v>
      </c>
      <c r="AA173" s="13">
        <f>IFERROR(ROUND(AVERAGE(W173:Z173),1),"")</f>
        <v/>
      </c>
      <c r="AB173" s="13" t="n">
        <v>8.199999999999999</v>
      </c>
      <c r="AC173" s="13" t="n">
        <v>8.199999999999999</v>
      </c>
      <c r="AD173" s="13" t="n">
        <v>8</v>
      </c>
      <c r="AE173" s="13" t="n">
        <v>8.6</v>
      </c>
      <c r="AF173" s="13">
        <f>IFERROR(ROUND(AVERAGE(AB173:AE173),1),"")</f>
        <v/>
      </c>
      <c r="AG173" s="13" t="n">
        <v>7.8</v>
      </c>
      <c r="AH173" s="13" t="n">
        <v>7</v>
      </c>
      <c r="AI173" s="13" t="n">
        <v>8</v>
      </c>
      <c r="AJ173" s="13" t="n">
        <v>8.199999999999999</v>
      </c>
      <c r="AK173" s="13">
        <f>IFERROR(ROUND(AVERAGE(AG173:AJ173),1),"")</f>
        <v/>
      </c>
      <c r="AL173" s="13" t="n">
        <v>8.4</v>
      </c>
      <c r="AM173" s="13" t="n">
        <v>8.4</v>
      </c>
      <c r="AN173" s="13" t="n">
        <v>7.6</v>
      </c>
      <c r="AO173" s="13">
        <f>IFERROR(ROUND(AVERAGE(AL173:AN173),1),"")</f>
        <v/>
      </c>
      <c r="AP173" s="13" t="n">
        <v>7.5</v>
      </c>
      <c r="AQ173" s="13" t="n">
        <v>7.5</v>
      </c>
      <c r="AR173" s="13" t="n">
        <v>8</v>
      </c>
      <c r="AS173" s="13" t="n">
        <v>8.5</v>
      </c>
      <c r="AT173" s="13">
        <f>IFERROR(ROUND(AVERAGE(AP173:AS173),1),"")</f>
        <v/>
      </c>
      <c r="AU173" s="13" t="n">
        <v>7.8</v>
      </c>
      <c r="AV173" s="13" t="n">
        <v>7.8</v>
      </c>
      <c r="AW173" s="13" t="n">
        <v>7.6</v>
      </c>
      <c r="AX173" s="13" t="n">
        <v>7.8</v>
      </c>
      <c r="AY173" s="13">
        <f>IFERROR(ROUND(AVERAGE(AU173:AX173),1),"")</f>
        <v/>
      </c>
      <c r="AZ173" s="13">
        <f>ROUND(0.19*N(Q173)+0.17*N(V173)+0.17*N(AA173)+0.1*N(AF173)+0.09*N(AK173)+0.12*N(AT173)+0.16*N(AY173),1)</f>
        <v/>
      </c>
      <c r="BA173" s="13" t="inlineStr">
        <is>
          <t>256K</t>
        </is>
      </c>
      <c r="BB173" s="13" t="n"/>
      <c r="BC173" s="13" t="inlineStr"/>
      <c r="BD173" s="13" t="inlineStr"/>
      <c r="BE173" s="13" t="inlineStr">
        <is>
          <t>high</t>
        </is>
      </c>
      <c r="BF173" s="13" t="n">
        <v>4</v>
      </c>
      <c r="BG173" s="13" t="n">
        <v>4</v>
      </c>
      <c r="BH173" s="13" t="inlineStr">
        <is>
          <t>Multimodal flagship, multilingual</t>
        </is>
      </c>
      <c r="BI173" s="13" t="inlineStr"/>
      <c r="BJ173" s="15" t="inlineStr">
        <is>
          <t>M</t>
        </is>
      </c>
      <c r="BK173" s="13" t="inlineStr">
        <is>
          <t>Qwen3.7 multimodal; family-inherited estimate (scaled from flagship); verify before HIGH-stakes routing</t>
        </is>
      </c>
      <c r="BL173" s="13" t="inlineStr">
        <is>
          <t>2026-06-07</t>
        </is>
      </c>
    </row>
    <row r="174">
      <c r="A174" s="13" t="inlineStr">
        <is>
          <t>qwen3.7-plus</t>
        </is>
      </c>
      <c r="B174" s="13" t="inlineStr">
        <is>
          <t>Qwen3.7 Plus</t>
        </is>
      </c>
      <c r="C174" s="13" t="inlineStr">
        <is>
          <t>Alibaba</t>
        </is>
      </c>
      <c r="D174" s="13" t="inlineStr">
        <is>
          <t>Qwen3.7</t>
        </is>
      </c>
      <c r="E174" s="13" t="inlineStr">
        <is>
          <t>3.7-plus</t>
        </is>
      </c>
      <c r="F174" s="13" t="inlineStr">
        <is>
          <t>Current</t>
        </is>
      </c>
      <c r="G174" s="13" t="inlineStr">
        <is>
          <t>Open Multimodal Flagship</t>
        </is>
      </c>
      <c r="H174" s="13" t="inlineStr">
        <is>
          <t>Together AI</t>
        </is>
      </c>
      <c r="I174" s="13" t="inlineStr">
        <is>
          <t>Aggregator</t>
        </is>
      </c>
      <c r="J174" s="13" t="inlineStr">
        <is>
          <t>Not-keyed</t>
        </is>
      </c>
      <c r="K174" s="13" t="inlineStr">
        <is>
          <t>metered (not configured)</t>
        </is>
      </c>
      <c r="L174" s="13" t="inlineStr">
        <is>
          <t>No</t>
        </is>
      </c>
      <c r="M174" s="13" t="n">
        <v>8.6</v>
      </c>
      <c r="N174" s="13" t="n">
        <v>8.4</v>
      </c>
      <c r="O174" s="13" t="n">
        <v>8.199999999999999</v>
      </c>
      <c r="P174" s="13" t="n">
        <v>8</v>
      </c>
      <c r="Q174" s="13">
        <f>IFERROR(ROUND(AVERAGE(M174:P174),1),"")</f>
        <v/>
      </c>
      <c r="R174" s="13" t="n">
        <v>8.199999999999999</v>
      </c>
      <c r="S174" s="13" t="n">
        <v>7.8</v>
      </c>
      <c r="T174" s="13" t="n">
        <v>8</v>
      </c>
      <c r="U174" s="13" t="n">
        <v>8.199999999999999</v>
      </c>
      <c r="V174" s="13">
        <f>IFERROR(ROUND(AVERAGE(R174:U174),1),"")</f>
        <v/>
      </c>
      <c r="W174" s="13" t="n">
        <v>8.199999999999999</v>
      </c>
      <c r="X174" s="13" t="n">
        <v>8</v>
      </c>
      <c r="Y174" s="13" t="n">
        <v>7.8</v>
      </c>
      <c r="Z174" s="13" t="n">
        <v>8.199999999999999</v>
      </c>
      <c r="AA174" s="13">
        <f>IFERROR(ROUND(AVERAGE(W174:Z174),1),"")</f>
        <v/>
      </c>
      <c r="AB174" s="13" t="n">
        <v>8.199999999999999</v>
      </c>
      <c r="AC174" s="13" t="n">
        <v>8.199999999999999</v>
      </c>
      <c r="AD174" s="13" t="n">
        <v>8</v>
      </c>
      <c r="AE174" s="13" t="n">
        <v>8.6</v>
      </c>
      <c r="AF174" s="13">
        <f>IFERROR(ROUND(AVERAGE(AB174:AE174),1),"")</f>
        <v/>
      </c>
      <c r="AG174" s="13" t="n">
        <v>7.8</v>
      </c>
      <c r="AH174" s="13" t="n">
        <v>7</v>
      </c>
      <c r="AI174" s="13" t="n">
        <v>8</v>
      </c>
      <c r="AJ174" s="13" t="n">
        <v>8.199999999999999</v>
      </c>
      <c r="AK174" s="13">
        <f>IFERROR(ROUND(AVERAGE(AG174:AJ174),1),"")</f>
        <v/>
      </c>
      <c r="AL174" s="13" t="n">
        <v>8.4</v>
      </c>
      <c r="AM174" s="13" t="n">
        <v>8.4</v>
      </c>
      <c r="AN174" s="13" t="n">
        <v>7.6</v>
      </c>
      <c r="AO174" s="13">
        <f>IFERROR(ROUND(AVERAGE(AL174:AN174),1),"")</f>
        <v/>
      </c>
      <c r="AP174" s="13" t="n">
        <v>7.5</v>
      </c>
      <c r="AQ174" s="13" t="n">
        <v>7.5</v>
      </c>
      <c r="AR174" s="13" t="n">
        <v>8</v>
      </c>
      <c r="AS174" s="13" t="n">
        <v>8.5</v>
      </c>
      <c r="AT174" s="13">
        <f>IFERROR(ROUND(AVERAGE(AP174:AS174),1),"")</f>
        <v/>
      </c>
      <c r="AU174" s="13" t="n">
        <v>7.8</v>
      </c>
      <c r="AV174" s="13" t="n">
        <v>7.8</v>
      </c>
      <c r="AW174" s="13" t="n">
        <v>7.6</v>
      </c>
      <c r="AX174" s="13" t="n">
        <v>7.8</v>
      </c>
      <c r="AY174" s="13">
        <f>IFERROR(ROUND(AVERAGE(AU174:AX174),1),"")</f>
        <v/>
      </c>
      <c r="AZ174" s="13">
        <f>ROUND(0.19*N(Q174)+0.17*N(V174)+0.17*N(AA174)+0.1*N(AF174)+0.09*N(AK174)+0.12*N(AT174)+0.16*N(AY174),1)</f>
        <v/>
      </c>
      <c r="BA174" s="13" t="inlineStr">
        <is>
          <t>256K</t>
        </is>
      </c>
      <c r="BB174" s="13" t="n"/>
      <c r="BC174" s="13" t="inlineStr"/>
      <c r="BD174" s="13" t="inlineStr"/>
      <c r="BE174" s="13" t="inlineStr">
        <is>
          <t>high</t>
        </is>
      </c>
      <c r="BF174" s="13" t="n">
        <v>4</v>
      </c>
      <c r="BG174" s="13" t="n">
        <v>4</v>
      </c>
      <c r="BH174" s="13" t="inlineStr">
        <is>
          <t>Multimodal flagship, multilingual</t>
        </is>
      </c>
      <c r="BI174" s="13" t="inlineStr"/>
      <c r="BJ174" s="15" t="inlineStr">
        <is>
          <t>M</t>
        </is>
      </c>
      <c r="BK174" s="13" t="inlineStr">
        <is>
          <t>Qwen3.7 multimodal; family-inherited estimate (scaled from flagship); verify before HIGH-stakes routing</t>
        </is>
      </c>
      <c r="BL174" s="13" t="inlineStr">
        <is>
          <t>2026-06-07</t>
        </is>
      </c>
    </row>
    <row r="175">
      <c r="A175" s="13" t="inlineStr">
        <is>
          <t>qwen3.7-plus</t>
        </is>
      </c>
      <c r="B175" s="13" t="inlineStr">
        <is>
          <t>Qwen3.7 Plus</t>
        </is>
      </c>
      <c r="C175" s="13" t="inlineStr">
        <is>
          <t>Alibaba</t>
        </is>
      </c>
      <c r="D175" s="13" t="inlineStr">
        <is>
          <t>Qwen3.7</t>
        </is>
      </c>
      <c r="E175" s="13" t="inlineStr">
        <is>
          <t>3.7-plus</t>
        </is>
      </c>
      <c r="F175" s="13" t="inlineStr">
        <is>
          <t>Current</t>
        </is>
      </c>
      <c r="G175" s="13" t="inlineStr">
        <is>
          <t>Open Multimodal Flagship</t>
        </is>
      </c>
      <c r="H175" s="13" t="inlineStr">
        <is>
          <t>OpenRouter</t>
        </is>
      </c>
      <c r="I175" s="13" t="inlineStr">
        <is>
          <t>Aggregator</t>
        </is>
      </c>
      <c r="J175" s="13" t="inlineStr">
        <is>
          <t>Not-keyed</t>
        </is>
      </c>
      <c r="K175" s="13" t="inlineStr">
        <is>
          <t>metered (not configured)</t>
        </is>
      </c>
      <c r="L175" s="13" t="inlineStr">
        <is>
          <t>No</t>
        </is>
      </c>
      <c r="M175" s="13" t="n">
        <v>8.6</v>
      </c>
      <c r="N175" s="13" t="n">
        <v>8.4</v>
      </c>
      <c r="O175" s="13" t="n">
        <v>8.199999999999999</v>
      </c>
      <c r="P175" s="13" t="n">
        <v>8</v>
      </c>
      <c r="Q175" s="13">
        <f>IFERROR(ROUND(AVERAGE(M175:P175),1),"")</f>
        <v/>
      </c>
      <c r="R175" s="13" t="n">
        <v>8.199999999999999</v>
      </c>
      <c r="S175" s="13" t="n">
        <v>7.8</v>
      </c>
      <c r="T175" s="13" t="n">
        <v>8</v>
      </c>
      <c r="U175" s="13" t="n">
        <v>8.199999999999999</v>
      </c>
      <c r="V175" s="13">
        <f>IFERROR(ROUND(AVERAGE(R175:U175),1),"")</f>
        <v/>
      </c>
      <c r="W175" s="13" t="n">
        <v>8.199999999999999</v>
      </c>
      <c r="X175" s="13" t="n">
        <v>8</v>
      </c>
      <c r="Y175" s="13" t="n">
        <v>7.8</v>
      </c>
      <c r="Z175" s="13" t="n">
        <v>8.199999999999999</v>
      </c>
      <c r="AA175" s="13">
        <f>IFERROR(ROUND(AVERAGE(W175:Z175),1),"")</f>
        <v/>
      </c>
      <c r="AB175" s="13" t="n">
        <v>8.199999999999999</v>
      </c>
      <c r="AC175" s="13" t="n">
        <v>8.199999999999999</v>
      </c>
      <c r="AD175" s="13" t="n">
        <v>8</v>
      </c>
      <c r="AE175" s="13" t="n">
        <v>8.6</v>
      </c>
      <c r="AF175" s="13">
        <f>IFERROR(ROUND(AVERAGE(AB175:AE175),1),"")</f>
        <v/>
      </c>
      <c r="AG175" s="13" t="n">
        <v>7.8</v>
      </c>
      <c r="AH175" s="13" t="n">
        <v>7</v>
      </c>
      <c r="AI175" s="13" t="n">
        <v>8</v>
      </c>
      <c r="AJ175" s="13" t="n">
        <v>8.199999999999999</v>
      </c>
      <c r="AK175" s="13">
        <f>IFERROR(ROUND(AVERAGE(AG175:AJ175),1),"")</f>
        <v/>
      </c>
      <c r="AL175" s="13" t="n">
        <v>8.4</v>
      </c>
      <c r="AM175" s="13" t="n">
        <v>8.4</v>
      </c>
      <c r="AN175" s="13" t="n">
        <v>7.6</v>
      </c>
      <c r="AO175" s="13">
        <f>IFERROR(ROUND(AVERAGE(AL175:AN175),1),"")</f>
        <v/>
      </c>
      <c r="AP175" s="13" t="n">
        <v>7.5</v>
      </c>
      <c r="AQ175" s="13" t="n">
        <v>7.5</v>
      </c>
      <c r="AR175" s="13" t="n">
        <v>8</v>
      </c>
      <c r="AS175" s="13" t="n">
        <v>8.5</v>
      </c>
      <c r="AT175" s="13">
        <f>IFERROR(ROUND(AVERAGE(AP175:AS175),1),"")</f>
        <v/>
      </c>
      <c r="AU175" s="13" t="n">
        <v>7.8</v>
      </c>
      <c r="AV175" s="13" t="n">
        <v>7.8</v>
      </c>
      <c r="AW175" s="13" t="n">
        <v>7.6</v>
      </c>
      <c r="AX175" s="13" t="n">
        <v>7.8</v>
      </c>
      <c r="AY175" s="13">
        <f>IFERROR(ROUND(AVERAGE(AU175:AX175),1),"")</f>
        <v/>
      </c>
      <c r="AZ175" s="13">
        <f>ROUND(0.19*N(Q175)+0.17*N(V175)+0.17*N(AA175)+0.1*N(AF175)+0.09*N(AK175)+0.12*N(AT175)+0.16*N(AY175),1)</f>
        <v/>
      </c>
      <c r="BA175" s="13" t="inlineStr">
        <is>
          <t>256K</t>
        </is>
      </c>
      <c r="BB175" s="13" t="n"/>
      <c r="BC175" s="13" t="inlineStr"/>
      <c r="BD175" s="13" t="inlineStr"/>
      <c r="BE175" s="13" t="inlineStr">
        <is>
          <t>high</t>
        </is>
      </c>
      <c r="BF175" s="13" t="n">
        <v>4</v>
      </c>
      <c r="BG175" s="13" t="n">
        <v>4</v>
      </c>
      <c r="BH175" s="13" t="inlineStr">
        <is>
          <t>Multimodal flagship, multilingual</t>
        </is>
      </c>
      <c r="BI175" s="13" t="inlineStr"/>
      <c r="BJ175" s="15" t="inlineStr">
        <is>
          <t>M</t>
        </is>
      </c>
      <c r="BK175" s="13" t="inlineStr">
        <is>
          <t>Qwen3.7 multimodal; family-inherited estimate (scaled from flagship); verify before HIGH-stakes routing</t>
        </is>
      </c>
      <c r="BL175" s="13" t="inlineStr">
        <is>
          <t>2026-06-07</t>
        </is>
      </c>
    </row>
    <row r="176">
      <c r="A176" s="13" t="inlineStr">
        <is>
          <t>qwen3.5-122b-a10b</t>
        </is>
      </c>
      <c r="B176" s="13" t="inlineStr">
        <is>
          <t>Qwen3.5 122B-A10B</t>
        </is>
      </c>
      <c r="C176" s="13" t="inlineStr">
        <is>
          <t>Alibaba</t>
        </is>
      </c>
      <c r="D176" s="13" t="inlineStr">
        <is>
          <t>Qwen3.5</t>
        </is>
      </c>
      <c r="E176" s="13" t="inlineStr">
        <is>
          <t>3.5-122b</t>
        </is>
      </c>
      <c r="F176" s="13" t="inlineStr">
        <is>
          <t>Current</t>
        </is>
      </c>
      <c r="G176" s="13" t="inlineStr">
        <is>
          <t>Open MoE</t>
        </is>
      </c>
      <c r="H176" s="13" t="inlineStr">
        <is>
          <t>Alibaba DashScope</t>
        </is>
      </c>
      <c r="I176" s="13" t="inlineStr">
        <is>
          <t>HTTP API</t>
        </is>
      </c>
      <c r="J176" s="13" t="inlineStr">
        <is>
          <t>Not-keyed</t>
        </is>
      </c>
      <c r="K176" s="13" t="inlineStr">
        <is>
          <t>metered (not configured)</t>
        </is>
      </c>
      <c r="L176" s="13" t="inlineStr">
        <is>
          <t>No</t>
        </is>
      </c>
      <c r="M176" s="13" t="n">
        <v>8.199999999999999</v>
      </c>
      <c r="N176" s="13" t="n">
        <v>8</v>
      </c>
      <c r="O176" s="13" t="n">
        <v>7.8</v>
      </c>
      <c r="P176" s="13" t="n">
        <v>7.8</v>
      </c>
      <c r="Q176" s="13">
        <f>IFERROR(ROUND(AVERAGE(M176:P176),1),"")</f>
        <v/>
      </c>
      <c r="R176" s="13" t="n">
        <v>8</v>
      </c>
      <c r="S176" s="13" t="n">
        <v>7.6</v>
      </c>
      <c r="T176" s="13" t="n">
        <v>7.8</v>
      </c>
      <c r="U176" s="13" t="n">
        <v>8</v>
      </c>
      <c r="V176" s="13">
        <f>IFERROR(ROUND(AVERAGE(R176:U176),1),"")</f>
        <v/>
      </c>
      <c r="W176" s="13" t="n">
        <v>8</v>
      </c>
      <c r="X176" s="13" t="n">
        <v>7.8</v>
      </c>
      <c r="Y176" s="13" t="n">
        <v>7.4</v>
      </c>
      <c r="Z176" s="13" t="n">
        <v>8</v>
      </c>
      <c r="AA176" s="13">
        <f>IFERROR(ROUND(AVERAGE(W176:Z176),1),"")</f>
        <v/>
      </c>
      <c r="AB176" s="13" t="n">
        <v>7.8</v>
      </c>
      <c r="AC176" s="13" t="n">
        <v>7.8</v>
      </c>
      <c r="AD176" s="13" t="n">
        <v>7.6</v>
      </c>
      <c r="AE176" s="13" t="n">
        <v>8.199999999999999</v>
      </c>
      <c r="AF176" s="13">
        <f>IFERROR(ROUND(AVERAGE(AB176:AE176),1),"")</f>
        <v/>
      </c>
      <c r="AG176" s="13" t="n">
        <v>7.6</v>
      </c>
      <c r="AH176" s="13" t="n">
        <v>6.8</v>
      </c>
      <c r="AI176" s="13" t="n">
        <v>7.8</v>
      </c>
      <c r="AJ176" s="13" t="n">
        <v>8</v>
      </c>
      <c r="AK176" s="13">
        <f>IFERROR(ROUND(AVERAGE(AG176:AJ176),1),"")</f>
        <v/>
      </c>
      <c r="AL176" s="13" t="inlineStr"/>
      <c r="AM176" s="13" t="inlineStr"/>
      <c r="AN176" s="13" t="inlineStr"/>
      <c r="AO176" s="13">
        <f>IFERROR(ROUND(AVERAGE(AL176:AN176),1),"")</f>
        <v/>
      </c>
      <c r="AP176" s="13" t="n">
        <v>7.8</v>
      </c>
      <c r="AQ176" s="13" t="n">
        <v>7.8</v>
      </c>
      <c r="AR176" s="13" t="n">
        <v>8</v>
      </c>
      <c r="AS176" s="13" t="n">
        <v>8.6</v>
      </c>
      <c r="AT176" s="13">
        <f>IFERROR(ROUND(AVERAGE(AP176:AS176),1),"")</f>
        <v/>
      </c>
      <c r="AU176" s="13" t="n">
        <v>7.4</v>
      </c>
      <c r="AV176" s="13" t="n">
        <v>7.6</v>
      </c>
      <c r="AW176" s="13" t="n">
        <v>7.4</v>
      </c>
      <c r="AX176" s="13" t="n">
        <v>7.4</v>
      </c>
      <c r="AY176" s="13">
        <f>IFERROR(ROUND(AVERAGE(AU176:AX176),1),"")</f>
        <v/>
      </c>
      <c r="AZ176" s="13">
        <f>ROUND(0.19*N(Q176)+0.17*N(V176)+0.17*N(AA176)+0.1*N(AF176)+0.09*N(AK176)+0.12*N(AT176)+0.16*N(AY176),1)</f>
        <v/>
      </c>
      <c r="BA176" s="13" t="inlineStr">
        <is>
          <t>256K</t>
        </is>
      </c>
      <c r="BB176" s="13" t="n"/>
      <c r="BC176" s="13" t="inlineStr"/>
      <c r="BD176" s="13" t="inlineStr"/>
      <c r="BE176" s="13" t="inlineStr">
        <is>
          <t>high</t>
        </is>
      </c>
      <c r="BF176" s="13" t="n">
        <v>4</v>
      </c>
      <c r="BG176" s="13" t="n">
        <v>4</v>
      </c>
      <c r="BH176" s="13" t="inlineStr">
        <is>
          <t>Large open MoE</t>
        </is>
      </c>
      <c r="BI176" s="13" t="inlineStr"/>
      <c r="BJ176" s="15" t="inlineStr">
        <is>
          <t>M</t>
        </is>
      </c>
      <c r="BK176" s="13" t="inlineStr">
        <is>
          <t>Qwen3.5 MoE; family-inherited estimate (scaled from flagship); verify before HIGH-stakes routing</t>
        </is>
      </c>
      <c r="BL176" s="13" t="inlineStr">
        <is>
          <t>2026-06-07</t>
        </is>
      </c>
    </row>
    <row r="177">
      <c r="A177" s="13" t="inlineStr">
        <is>
          <t>qwen3.5-122b-a10b</t>
        </is>
      </c>
      <c r="B177" s="13" t="inlineStr">
        <is>
          <t>Qwen3.5 122B-A10B</t>
        </is>
      </c>
      <c r="C177" s="13" t="inlineStr">
        <is>
          <t>Alibaba</t>
        </is>
      </c>
      <c r="D177" s="13" t="inlineStr">
        <is>
          <t>Qwen3.5</t>
        </is>
      </c>
      <c r="E177" s="13" t="inlineStr">
        <is>
          <t>3.5-122b</t>
        </is>
      </c>
      <c r="F177" s="13" t="inlineStr">
        <is>
          <t>Current</t>
        </is>
      </c>
      <c r="G177" s="13" t="inlineStr">
        <is>
          <t>Open MoE</t>
        </is>
      </c>
      <c r="H177" s="13" t="inlineStr">
        <is>
          <t>Together AI</t>
        </is>
      </c>
      <c r="I177" s="13" t="inlineStr">
        <is>
          <t>Aggregator</t>
        </is>
      </c>
      <c r="J177" s="13" t="inlineStr">
        <is>
          <t>Not-keyed</t>
        </is>
      </c>
      <c r="K177" s="13" t="inlineStr">
        <is>
          <t>metered (not configured)</t>
        </is>
      </c>
      <c r="L177" s="13" t="inlineStr">
        <is>
          <t>No</t>
        </is>
      </c>
      <c r="M177" s="13" t="n">
        <v>8.199999999999999</v>
      </c>
      <c r="N177" s="13" t="n">
        <v>8</v>
      </c>
      <c r="O177" s="13" t="n">
        <v>7.8</v>
      </c>
      <c r="P177" s="13" t="n">
        <v>7.8</v>
      </c>
      <c r="Q177" s="13">
        <f>IFERROR(ROUND(AVERAGE(M177:P177),1),"")</f>
        <v/>
      </c>
      <c r="R177" s="13" t="n">
        <v>8</v>
      </c>
      <c r="S177" s="13" t="n">
        <v>7.6</v>
      </c>
      <c r="T177" s="13" t="n">
        <v>7.8</v>
      </c>
      <c r="U177" s="13" t="n">
        <v>8</v>
      </c>
      <c r="V177" s="13">
        <f>IFERROR(ROUND(AVERAGE(R177:U177),1),"")</f>
        <v/>
      </c>
      <c r="W177" s="13" t="n">
        <v>8</v>
      </c>
      <c r="X177" s="13" t="n">
        <v>7.8</v>
      </c>
      <c r="Y177" s="13" t="n">
        <v>7.4</v>
      </c>
      <c r="Z177" s="13" t="n">
        <v>8</v>
      </c>
      <c r="AA177" s="13">
        <f>IFERROR(ROUND(AVERAGE(W177:Z177),1),"")</f>
        <v/>
      </c>
      <c r="AB177" s="13" t="n">
        <v>7.8</v>
      </c>
      <c r="AC177" s="13" t="n">
        <v>7.8</v>
      </c>
      <c r="AD177" s="13" t="n">
        <v>7.6</v>
      </c>
      <c r="AE177" s="13" t="n">
        <v>8.199999999999999</v>
      </c>
      <c r="AF177" s="13">
        <f>IFERROR(ROUND(AVERAGE(AB177:AE177),1),"")</f>
        <v/>
      </c>
      <c r="AG177" s="13" t="n">
        <v>7.6</v>
      </c>
      <c r="AH177" s="13" t="n">
        <v>6.8</v>
      </c>
      <c r="AI177" s="13" t="n">
        <v>7.8</v>
      </c>
      <c r="AJ177" s="13" t="n">
        <v>8</v>
      </c>
      <c r="AK177" s="13">
        <f>IFERROR(ROUND(AVERAGE(AG177:AJ177),1),"")</f>
        <v/>
      </c>
      <c r="AL177" s="13" t="inlineStr"/>
      <c r="AM177" s="13" t="inlineStr"/>
      <c r="AN177" s="13" t="inlineStr"/>
      <c r="AO177" s="13">
        <f>IFERROR(ROUND(AVERAGE(AL177:AN177),1),"")</f>
        <v/>
      </c>
      <c r="AP177" s="13" t="n">
        <v>7.8</v>
      </c>
      <c r="AQ177" s="13" t="n">
        <v>7.8</v>
      </c>
      <c r="AR177" s="13" t="n">
        <v>8</v>
      </c>
      <c r="AS177" s="13" t="n">
        <v>8.6</v>
      </c>
      <c r="AT177" s="13">
        <f>IFERROR(ROUND(AVERAGE(AP177:AS177),1),"")</f>
        <v/>
      </c>
      <c r="AU177" s="13" t="n">
        <v>7.4</v>
      </c>
      <c r="AV177" s="13" t="n">
        <v>7.6</v>
      </c>
      <c r="AW177" s="13" t="n">
        <v>7.4</v>
      </c>
      <c r="AX177" s="13" t="n">
        <v>7.4</v>
      </c>
      <c r="AY177" s="13">
        <f>IFERROR(ROUND(AVERAGE(AU177:AX177),1),"")</f>
        <v/>
      </c>
      <c r="AZ177" s="13">
        <f>ROUND(0.19*N(Q177)+0.17*N(V177)+0.17*N(AA177)+0.1*N(AF177)+0.09*N(AK177)+0.12*N(AT177)+0.16*N(AY177),1)</f>
        <v/>
      </c>
      <c r="BA177" s="13" t="inlineStr">
        <is>
          <t>256K</t>
        </is>
      </c>
      <c r="BB177" s="13" t="n"/>
      <c r="BC177" s="13" t="inlineStr"/>
      <c r="BD177" s="13" t="inlineStr"/>
      <c r="BE177" s="13" t="inlineStr">
        <is>
          <t>high</t>
        </is>
      </c>
      <c r="BF177" s="13" t="n">
        <v>4</v>
      </c>
      <c r="BG177" s="13" t="n">
        <v>4</v>
      </c>
      <c r="BH177" s="13" t="inlineStr">
        <is>
          <t>Large open MoE</t>
        </is>
      </c>
      <c r="BI177" s="13" t="inlineStr"/>
      <c r="BJ177" s="15" t="inlineStr">
        <is>
          <t>M</t>
        </is>
      </c>
      <c r="BK177" s="13" t="inlineStr">
        <is>
          <t>Qwen3.5 MoE; family-inherited estimate (scaled from flagship); verify before HIGH-stakes routing</t>
        </is>
      </c>
      <c r="BL177" s="13" t="inlineStr">
        <is>
          <t>2026-06-07</t>
        </is>
      </c>
    </row>
    <row r="178">
      <c r="A178" s="13" t="inlineStr">
        <is>
          <t>qwen3.5-122b-a10b</t>
        </is>
      </c>
      <c r="B178" s="13" t="inlineStr">
        <is>
          <t>Qwen3.5 122B-A10B</t>
        </is>
      </c>
      <c r="C178" s="13" t="inlineStr">
        <is>
          <t>Alibaba</t>
        </is>
      </c>
      <c r="D178" s="13" t="inlineStr">
        <is>
          <t>Qwen3.5</t>
        </is>
      </c>
      <c r="E178" s="13" t="inlineStr">
        <is>
          <t>3.5-122b</t>
        </is>
      </c>
      <c r="F178" s="13" t="inlineStr">
        <is>
          <t>Current</t>
        </is>
      </c>
      <c r="G178" s="13" t="inlineStr">
        <is>
          <t>Open MoE</t>
        </is>
      </c>
      <c r="H178" s="13" t="inlineStr">
        <is>
          <t>Fireworks AI</t>
        </is>
      </c>
      <c r="I178" s="13" t="inlineStr">
        <is>
          <t>Aggregator</t>
        </is>
      </c>
      <c r="J178" s="13" t="inlineStr">
        <is>
          <t>Not-keyed</t>
        </is>
      </c>
      <c r="K178" s="13" t="inlineStr">
        <is>
          <t>metered (not configured)</t>
        </is>
      </c>
      <c r="L178" s="13" t="inlineStr">
        <is>
          <t>No</t>
        </is>
      </c>
      <c r="M178" s="13" t="n">
        <v>8.199999999999999</v>
      </c>
      <c r="N178" s="13" t="n">
        <v>8</v>
      </c>
      <c r="O178" s="13" t="n">
        <v>7.8</v>
      </c>
      <c r="P178" s="13" t="n">
        <v>7.8</v>
      </c>
      <c r="Q178" s="13">
        <f>IFERROR(ROUND(AVERAGE(M178:P178),1),"")</f>
        <v/>
      </c>
      <c r="R178" s="13" t="n">
        <v>8</v>
      </c>
      <c r="S178" s="13" t="n">
        <v>7.6</v>
      </c>
      <c r="T178" s="13" t="n">
        <v>7.8</v>
      </c>
      <c r="U178" s="13" t="n">
        <v>8</v>
      </c>
      <c r="V178" s="13">
        <f>IFERROR(ROUND(AVERAGE(R178:U178),1),"")</f>
        <v/>
      </c>
      <c r="W178" s="13" t="n">
        <v>8</v>
      </c>
      <c r="X178" s="13" t="n">
        <v>7.8</v>
      </c>
      <c r="Y178" s="13" t="n">
        <v>7.4</v>
      </c>
      <c r="Z178" s="13" t="n">
        <v>8</v>
      </c>
      <c r="AA178" s="13">
        <f>IFERROR(ROUND(AVERAGE(W178:Z178),1),"")</f>
        <v/>
      </c>
      <c r="AB178" s="13" t="n">
        <v>7.8</v>
      </c>
      <c r="AC178" s="13" t="n">
        <v>7.8</v>
      </c>
      <c r="AD178" s="13" t="n">
        <v>7.6</v>
      </c>
      <c r="AE178" s="13" t="n">
        <v>8.199999999999999</v>
      </c>
      <c r="AF178" s="13">
        <f>IFERROR(ROUND(AVERAGE(AB178:AE178),1),"")</f>
        <v/>
      </c>
      <c r="AG178" s="13" t="n">
        <v>7.6</v>
      </c>
      <c r="AH178" s="13" t="n">
        <v>6.8</v>
      </c>
      <c r="AI178" s="13" t="n">
        <v>7.8</v>
      </c>
      <c r="AJ178" s="13" t="n">
        <v>8</v>
      </c>
      <c r="AK178" s="13">
        <f>IFERROR(ROUND(AVERAGE(AG178:AJ178),1),"")</f>
        <v/>
      </c>
      <c r="AL178" s="13" t="inlineStr"/>
      <c r="AM178" s="13" t="inlineStr"/>
      <c r="AN178" s="13" t="inlineStr"/>
      <c r="AO178" s="13">
        <f>IFERROR(ROUND(AVERAGE(AL178:AN178),1),"")</f>
        <v/>
      </c>
      <c r="AP178" s="13" t="n">
        <v>7.8</v>
      </c>
      <c r="AQ178" s="13" t="n">
        <v>7.8</v>
      </c>
      <c r="AR178" s="13" t="n">
        <v>8</v>
      </c>
      <c r="AS178" s="13" t="n">
        <v>8.6</v>
      </c>
      <c r="AT178" s="13">
        <f>IFERROR(ROUND(AVERAGE(AP178:AS178),1),"")</f>
        <v/>
      </c>
      <c r="AU178" s="13" t="n">
        <v>7.4</v>
      </c>
      <c r="AV178" s="13" t="n">
        <v>7.6</v>
      </c>
      <c r="AW178" s="13" t="n">
        <v>7.4</v>
      </c>
      <c r="AX178" s="13" t="n">
        <v>7.4</v>
      </c>
      <c r="AY178" s="13">
        <f>IFERROR(ROUND(AVERAGE(AU178:AX178),1),"")</f>
        <v/>
      </c>
      <c r="AZ178" s="13">
        <f>ROUND(0.19*N(Q178)+0.17*N(V178)+0.17*N(AA178)+0.1*N(AF178)+0.09*N(AK178)+0.12*N(AT178)+0.16*N(AY178),1)</f>
        <v/>
      </c>
      <c r="BA178" s="13" t="inlineStr">
        <is>
          <t>256K</t>
        </is>
      </c>
      <c r="BB178" s="13" t="n"/>
      <c r="BC178" s="13" t="inlineStr"/>
      <c r="BD178" s="13" t="inlineStr"/>
      <c r="BE178" s="13" t="inlineStr">
        <is>
          <t>high</t>
        </is>
      </c>
      <c r="BF178" s="13" t="n">
        <v>4</v>
      </c>
      <c r="BG178" s="13" t="n">
        <v>4</v>
      </c>
      <c r="BH178" s="13" t="inlineStr">
        <is>
          <t>Large open MoE</t>
        </is>
      </c>
      <c r="BI178" s="13" t="inlineStr"/>
      <c r="BJ178" s="15" t="inlineStr">
        <is>
          <t>M</t>
        </is>
      </c>
      <c r="BK178" s="13" t="inlineStr">
        <is>
          <t>Qwen3.5 MoE; family-inherited estimate (scaled from flagship); verify before HIGH-stakes routing</t>
        </is>
      </c>
      <c r="BL178" s="13" t="inlineStr">
        <is>
          <t>2026-06-07</t>
        </is>
      </c>
    </row>
    <row r="179">
      <c r="A179" s="13" t="inlineStr">
        <is>
          <t>qwen3.5-122b-a10b</t>
        </is>
      </c>
      <c r="B179" s="13" t="inlineStr">
        <is>
          <t>Qwen3.5 122B-A10B</t>
        </is>
      </c>
      <c r="C179" s="13" t="inlineStr">
        <is>
          <t>Alibaba</t>
        </is>
      </c>
      <c r="D179" s="13" t="inlineStr">
        <is>
          <t>Qwen3.5</t>
        </is>
      </c>
      <c r="E179" s="13" t="inlineStr">
        <is>
          <t>3.5-122b</t>
        </is>
      </c>
      <c r="F179" s="13" t="inlineStr">
        <is>
          <t>Current</t>
        </is>
      </c>
      <c r="G179" s="13" t="inlineStr">
        <is>
          <t>Open MoE</t>
        </is>
      </c>
      <c r="H179" s="13" t="inlineStr">
        <is>
          <t>OpenRouter</t>
        </is>
      </c>
      <c r="I179" s="13" t="inlineStr">
        <is>
          <t>Aggregator</t>
        </is>
      </c>
      <c r="J179" s="13" t="inlineStr">
        <is>
          <t>Not-keyed</t>
        </is>
      </c>
      <c r="K179" s="13" t="inlineStr">
        <is>
          <t>metered (not configured)</t>
        </is>
      </c>
      <c r="L179" s="13" t="inlineStr">
        <is>
          <t>No</t>
        </is>
      </c>
      <c r="M179" s="13" t="n">
        <v>8.199999999999999</v>
      </c>
      <c r="N179" s="13" t="n">
        <v>8</v>
      </c>
      <c r="O179" s="13" t="n">
        <v>7.8</v>
      </c>
      <c r="P179" s="13" t="n">
        <v>7.8</v>
      </c>
      <c r="Q179" s="13">
        <f>IFERROR(ROUND(AVERAGE(M179:P179),1),"")</f>
        <v/>
      </c>
      <c r="R179" s="13" t="n">
        <v>8</v>
      </c>
      <c r="S179" s="13" t="n">
        <v>7.6</v>
      </c>
      <c r="T179" s="13" t="n">
        <v>7.8</v>
      </c>
      <c r="U179" s="13" t="n">
        <v>8</v>
      </c>
      <c r="V179" s="13">
        <f>IFERROR(ROUND(AVERAGE(R179:U179),1),"")</f>
        <v/>
      </c>
      <c r="W179" s="13" t="n">
        <v>8</v>
      </c>
      <c r="X179" s="13" t="n">
        <v>7.8</v>
      </c>
      <c r="Y179" s="13" t="n">
        <v>7.4</v>
      </c>
      <c r="Z179" s="13" t="n">
        <v>8</v>
      </c>
      <c r="AA179" s="13">
        <f>IFERROR(ROUND(AVERAGE(W179:Z179),1),"")</f>
        <v/>
      </c>
      <c r="AB179" s="13" t="n">
        <v>7.8</v>
      </c>
      <c r="AC179" s="13" t="n">
        <v>7.8</v>
      </c>
      <c r="AD179" s="13" t="n">
        <v>7.6</v>
      </c>
      <c r="AE179" s="13" t="n">
        <v>8.199999999999999</v>
      </c>
      <c r="AF179" s="13">
        <f>IFERROR(ROUND(AVERAGE(AB179:AE179),1),"")</f>
        <v/>
      </c>
      <c r="AG179" s="13" t="n">
        <v>7.6</v>
      </c>
      <c r="AH179" s="13" t="n">
        <v>6.8</v>
      </c>
      <c r="AI179" s="13" t="n">
        <v>7.8</v>
      </c>
      <c r="AJ179" s="13" t="n">
        <v>8</v>
      </c>
      <c r="AK179" s="13">
        <f>IFERROR(ROUND(AVERAGE(AG179:AJ179),1),"")</f>
        <v/>
      </c>
      <c r="AL179" s="13" t="inlineStr"/>
      <c r="AM179" s="13" t="inlineStr"/>
      <c r="AN179" s="13" t="inlineStr"/>
      <c r="AO179" s="13">
        <f>IFERROR(ROUND(AVERAGE(AL179:AN179),1),"")</f>
        <v/>
      </c>
      <c r="AP179" s="13" t="n">
        <v>7.8</v>
      </c>
      <c r="AQ179" s="13" t="n">
        <v>7.8</v>
      </c>
      <c r="AR179" s="13" t="n">
        <v>8</v>
      </c>
      <c r="AS179" s="13" t="n">
        <v>8.6</v>
      </c>
      <c r="AT179" s="13">
        <f>IFERROR(ROUND(AVERAGE(AP179:AS179),1),"")</f>
        <v/>
      </c>
      <c r="AU179" s="13" t="n">
        <v>7.4</v>
      </c>
      <c r="AV179" s="13" t="n">
        <v>7.6</v>
      </c>
      <c r="AW179" s="13" t="n">
        <v>7.4</v>
      </c>
      <c r="AX179" s="13" t="n">
        <v>7.4</v>
      </c>
      <c r="AY179" s="13">
        <f>IFERROR(ROUND(AVERAGE(AU179:AX179),1),"")</f>
        <v/>
      </c>
      <c r="AZ179" s="13">
        <f>ROUND(0.19*N(Q179)+0.17*N(V179)+0.17*N(AA179)+0.1*N(AF179)+0.09*N(AK179)+0.12*N(AT179)+0.16*N(AY179),1)</f>
        <v/>
      </c>
      <c r="BA179" s="13" t="inlineStr">
        <is>
          <t>256K</t>
        </is>
      </c>
      <c r="BB179" s="13" t="n"/>
      <c r="BC179" s="13" t="inlineStr"/>
      <c r="BD179" s="13" t="inlineStr"/>
      <c r="BE179" s="13" t="inlineStr">
        <is>
          <t>high</t>
        </is>
      </c>
      <c r="BF179" s="13" t="n">
        <v>4</v>
      </c>
      <c r="BG179" s="13" t="n">
        <v>4</v>
      </c>
      <c r="BH179" s="13" t="inlineStr">
        <is>
          <t>Large open MoE</t>
        </is>
      </c>
      <c r="BI179" s="13" t="inlineStr"/>
      <c r="BJ179" s="15" t="inlineStr">
        <is>
          <t>M</t>
        </is>
      </c>
      <c r="BK179" s="13" t="inlineStr">
        <is>
          <t>Qwen3.5 MoE; family-inherited estimate (scaled from flagship); verify before HIGH-stakes routing</t>
        </is>
      </c>
      <c r="BL179" s="13" t="inlineStr">
        <is>
          <t>2026-06-07</t>
        </is>
      </c>
    </row>
    <row r="180">
      <c r="A180" s="13" t="inlineStr">
        <is>
          <t>qwen3-235b-a22b</t>
        </is>
      </c>
      <c r="B180" s="13" t="inlineStr">
        <is>
          <t>Qwen3 235B-A22B</t>
        </is>
      </c>
      <c r="C180" s="13" t="inlineStr">
        <is>
          <t>Alibaba</t>
        </is>
      </c>
      <c r="D180" s="13" t="inlineStr">
        <is>
          <t>Qwen3</t>
        </is>
      </c>
      <c r="E180" s="13" t="inlineStr">
        <is>
          <t>235b-a22b</t>
        </is>
      </c>
      <c r="F180" s="13" t="inlineStr">
        <is>
          <t>Current</t>
        </is>
      </c>
      <c r="G180" s="13" t="inlineStr">
        <is>
          <t>Open MoE Flagship</t>
        </is>
      </c>
      <c r="H180" s="13" t="inlineStr">
        <is>
          <t>Alibaba DashScope</t>
        </is>
      </c>
      <c r="I180" s="13" t="inlineStr">
        <is>
          <t>HTTP API</t>
        </is>
      </c>
      <c r="J180" s="13" t="inlineStr">
        <is>
          <t>Not-keyed</t>
        </is>
      </c>
      <c r="K180" s="13" t="inlineStr">
        <is>
          <t>metered (not configured)</t>
        </is>
      </c>
      <c r="L180" s="13" t="inlineStr">
        <is>
          <t>No</t>
        </is>
      </c>
      <c r="M180" s="13" t="n">
        <v>8.4</v>
      </c>
      <c r="N180" s="13" t="n">
        <v>8.199999999999999</v>
      </c>
      <c r="O180" s="13" t="n">
        <v>8</v>
      </c>
      <c r="P180" s="13" t="n">
        <v>7.8</v>
      </c>
      <c r="Q180" s="13">
        <f>IFERROR(ROUND(AVERAGE(M180:P180),1),"")</f>
        <v/>
      </c>
      <c r="R180" s="13" t="n">
        <v>8.199999999999999</v>
      </c>
      <c r="S180" s="13" t="n">
        <v>7.8</v>
      </c>
      <c r="T180" s="13" t="n">
        <v>8</v>
      </c>
      <c r="U180" s="13" t="n">
        <v>8.199999999999999</v>
      </c>
      <c r="V180" s="13">
        <f>IFERROR(ROUND(AVERAGE(R180:U180),1),"")</f>
        <v/>
      </c>
      <c r="W180" s="13" t="n">
        <v>8.4</v>
      </c>
      <c r="X180" s="13" t="n">
        <v>8</v>
      </c>
      <c r="Y180" s="13" t="n">
        <v>7.6</v>
      </c>
      <c r="Z180" s="13" t="n">
        <v>8.4</v>
      </c>
      <c r="AA180" s="13">
        <f>IFERROR(ROUND(AVERAGE(W180:Z180),1),"")</f>
        <v/>
      </c>
      <c r="AB180" s="13" t="n">
        <v>8</v>
      </c>
      <c r="AC180" s="13" t="n">
        <v>8</v>
      </c>
      <c r="AD180" s="13" t="n">
        <v>7.8</v>
      </c>
      <c r="AE180" s="13" t="n">
        <v>8.199999999999999</v>
      </c>
      <c r="AF180" s="13">
        <f>IFERROR(ROUND(AVERAGE(AB180:AE180),1),"")</f>
        <v/>
      </c>
      <c r="AG180" s="13" t="n">
        <v>7.8</v>
      </c>
      <c r="AH180" s="13" t="n">
        <v>7</v>
      </c>
      <c r="AI180" s="13" t="n">
        <v>8</v>
      </c>
      <c r="AJ180" s="13" t="n">
        <v>8.199999999999999</v>
      </c>
      <c r="AK180" s="13">
        <f>IFERROR(ROUND(AVERAGE(AG180:AJ180),1),"")</f>
        <v/>
      </c>
      <c r="AL180" s="13" t="inlineStr"/>
      <c r="AM180" s="13" t="inlineStr"/>
      <c r="AN180" s="13" t="inlineStr"/>
      <c r="AO180" s="13">
        <f>IFERROR(ROUND(AVERAGE(AL180:AN180),1),"")</f>
        <v/>
      </c>
      <c r="AP180" s="13" t="n">
        <v>7.5</v>
      </c>
      <c r="AQ180" s="13" t="n">
        <v>7.5</v>
      </c>
      <c r="AR180" s="13" t="n">
        <v>8</v>
      </c>
      <c r="AS180" s="13" t="n">
        <v>8.5</v>
      </c>
      <c r="AT180" s="13">
        <f>IFERROR(ROUND(AVERAGE(AP180:AS180),1),"")</f>
        <v/>
      </c>
      <c r="AU180" s="13" t="n">
        <v>7.6</v>
      </c>
      <c r="AV180" s="13" t="n">
        <v>7.6</v>
      </c>
      <c r="AW180" s="13" t="n">
        <v>7.4</v>
      </c>
      <c r="AX180" s="13" t="n">
        <v>7.6</v>
      </c>
      <c r="AY180" s="13">
        <f>IFERROR(ROUND(AVERAGE(AU180:AX180),1),"")</f>
        <v/>
      </c>
      <c r="AZ180" s="13">
        <f>ROUND(0.19*N(Q180)+0.17*N(V180)+0.17*N(AA180)+0.1*N(AF180)+0.09*N(AK180)+0.12*N(AT180)+0.16*N(AY180),1)</f>
        <v/>
      </c>
      <c r="BA180" s="13" t="inlineStr">
        <is>
          <t>256K</t>
        </is>
      </c>
      <c r="BB180" s="13" t="n"/>
      <c r="BC180" s="13" t="inlineStr"/>
      <c r="BD180" s="13" t="inlineStr"/>
      <c r="BE180" s="13" t="inlineStr">
        <is>
          <t>high</t>
        </is>
      </c>
      <c r="BF180" s="13" t="n">
        <v>4</v>
      </c>
      <c r="BG180" s="13" t="n">
        <v>4</v>
      </c>
      <c r="BH180" s="13" t="inlineStr">
        <is>
          <t>Strong open MoE; BFCL-leading tool calling</t>
        </is>
      </c>
      <c r="BI180" s="13" t="inlineStr"/>
      <c r="BJ180" s="15" t="inlineStr">
        <is>
          <t>M</t>
        </is>
      </c>
      <c r="BK180" s="13" t="inlineStr">
        <is>
          <t>BFCL/agentic-strong open model; family-inherited estimate (scaled from flagship); verify before HIGH-stakes routing</t>
        </is>
      </c>
      <c r="BL180" s="13" t="inlineStr">
        <is>
          <t>2026-06-07</t>
        </is>
      </c>
    </row>
    <row r="181">
      <c r="A181" s="13" t="inlineStr">
        <is>
          <t>qwen3-235b-a22b</t>
        </is>
      </c>
      <c r="B181" s="13" t="inlineStr">
        <is>
          <t>Qwen3 235B-A22B</t>
        </is>
      </c>
      <c r="C181" s="13" t="inlineStr">
        <is>
          <t>Alibaba</t>
        </is>
      </c>
      <c r="D181" s="13" t="inlineStr">
        <is>
          <t>Qwen3</t>
        </is>
      </c>
      <c r="E181" s="13" t="inlineStr">
        <is>
          <t>235b-a22b</t>
        </is>
      </c>
      <c r="F181" s="13" t="inlineStr">
        <is>
          <t>Current</t>
        </is>
      </c>
      <c r="G181" s="13" t="inlineStr">
        <is>
          <t>Open MoE Flagship</t>
        </is>
      </c>
      <c r="H181" s="13" t="inlineStr">
        <is>
          <t>Together AI</t>
        </is>
      </c>
      <c r="I181" s="13" t="inlineStr">
        <is>
          <t>Aggregator</t>
        </is>
      </c>
      <c r="J181" s="13" t="inlineStr">
        <is>
          <t>Not-keyed</t>
        </is>
      </c>
      <c r="K181" s="13" t="inlineStr">
        <is>
          <t>metered (not configured)</t>
        </is>
      </c>
      <c r="L181" s="13" t="inlineStr">
        <is>
          <t>No</t>
        </is>
      </c>
      <c r="M181" s="13" t="n">
        <v>8.4</v>
      </c>
      <c r="N181" s="13" t="n">
        <v>8.199999999999999</v>
      </c>
      <c r="O181" s="13" t="n">
        <v>8</v>
      </c>
      <c r="P181" s="13" t="n">
        <v>7.8</v>
      </c>
      <c r="Q181" s="13">
        <f>IFERROR(ROUND(AVERAGE(M181:P181),1),"")</f>
        <v/>
      </c>
      <c r="R181" s="13" t="n">
        <v>8.199999999999999</v>
      </c>
      <c r="S181" s="13" t="n">
        <v>7.8</v>
      </c>
      <c r="T181" s="13" t="n">
        <v>8</v>
      </c>
      <c r="U181" s="13" t="n">
        <v>8.199999999999999</v>
      </c>
      <c r="V181" s="13">
        <f>IFERROR(ROUND(AVERAGE(R181:U181),1),"")</f>
        <v/>
      </c>
      <c r="W181" s="13" t="n">
        <v>8.4</v>
      </c>
      <c r="X181" s="13" t="n">
        <v>8</v>
      </c>
      <c r="Y181" s="13" t="n">
        <v>7.6</v>
      </c>
      <c r="Z181" s="13" t="n">
        <v>8.4</v>
      </c>
      <c r="AA181" s="13">
        <f>IFERROR(ROUND(AVERAGE(W181:Z181),1),"")</f>
        <v/>
      </c>
      <c r="AB181" s="13" t="n">
        <v>8</v>
      </c>
      <c r="AC181" s="13" t="n">
        <v>8</v>
      </c>
      <c r="AD181" s="13" t="n">
        <v>7.8</v>
      </c>
      <c r="AE181" s="13" t="n">
        <v>8.199999999999999</v>
      </c>
      <c r="AF181" s="13">
        <f>IFERROR(ROUND(AVERAGE(AB181:AE181),1),"")</f>
        <v/>
      </c>
      <c r="AG181" s="13" t="n">
        <v>7.8</v>
      </c>
      <c r="AH181" s="13" t="n">
        <v>7</v>
      </c>
      <c r="AI181" s="13" t="n">
        <v>8</v>
      </c>
      <c r="AJ181" s="13" t="n">
        <v>8.199999999999999</v>
      </c>
      <c r="AK181" s="13">
        <f>IFERROR(ROUND(AVERAGE(AG181:AJ181),1),"")</f>
        <v/>
      </c>
      <c r="AL181" s="13" t="inlineStr"/>
      <c r="AM181" s="13" t="inlineStr"/>
      <c r="AN181" s="13" t="inlineStr"/>
      <c r="AO181" s="13">
        <f>IFERROR(ROUND(AVERAGE(AL181:AN181),1),"")</f>
        <v/>
      </c>
      <c r="AP181" s="13" t="n">
        <v>7.5</v>
      </c>
      <c r="AQ181" s="13" t="n">
        <v>7.5</v>
      </c>
      <c r="AR181" s="13" t="n">
        <v>8</v>
      </c>
      <c r="AS181" s="13" t="n">
        <v>8.5</v>
      </c>
      <c r="AT181" s="13">
        <f>IFERROR(ROUND(AVERAGE(AP181:AS181),1),"")</f>
        <v/>
      </c>
      <c r="AU181" s="13" t="n">
        <v>7.6</v>
      </c>
      <c r="AV181" s="13" t="n">
        <v>7.6</v>
      </c>
      <c r="AW181" s="13" t="n">
        <v>7.4</v>
      </c>
      <c r="AX181" s="13" t="n">
        <v>7.6</v>
      </c>
      <c r="AY181" s="13">
        <f>IFERROR(ROUND(AVERAGE(AU181:AX181),1),"")</f>
        <v/>
      </c>
      <c r="AZ181" s="13">
        <f>ROUND(0.19*N(Q181)+0.17*N(V181)+0.17*N(AA181)+0.1*N(AF181)+0.09*N(AK181)+0.12*N(AT181)+0.16*N(AY181),1)</f>
        <v/>
      </c>
      <c r="BA181" s="13" t="inlineStr">
        <is>
          <t>256K</t>
        </is>
      </c>
      <c r="BB181" s="13" t="n"/>
      <c r="BC181" s="13" t="inlineStr"/>
      <c r="BD181" s="13" t="inlineStr"/>
      <c r="BE181" s="13" t="inlineStr">
        <is>
          <t>high</t>
        </is>
      </c>
      <c r="BF181" s="13" t="n">
        <v>4</v>
      </c>
      <c r="BG181" s="13" t="n">
        <v>4</v>
      </c>
      <c r="BH181" s="13" t="inlineStr">
        <is>
          <t>Strong open MoE; BFCL-leading tool calling</t>
        </is>
      </c>
      <c r="BI181" s="13" t="inlineStr"/>
      <c r="BJ181" s="15" t="inlineStr">
        <is>
          <t>M</t>
        </is>
      </c>
      <c r="BK181" s="13" t="inlineStr">
        <is>
          <t>BFCL/agentic-strong open model; family-inherited estimate (scaled from flagship); verify before HIGH-stakes routing</t>
        </is>
      </c>
      <c r="BL181" s="13" t="inlineStr">
        <is>
          <t>2026-06-07</t>
        </is>
      </c>
    </row>
    <row r="182">
      <c r="A182" s="13" t="inlineStr">
        <is>
          <t>qwen3-235b-a22b</t>
        </is>
      </c>
      <c r="B182" s="13" t="inlineStr">
        <is>
          <t>Qwen3 235B-A22B</t>
        </is>
      </c>
      <c r="C182" s="13" t="inlineStr">
        <is>
          <t>Alibaba</t>
        </is>
      </c>
      <c r="D182" s="13" t="inlineStr">
        <is>
          <t>Qwen3</t>
        </is>
      </c>
      <c r="E182" s="13" t="inlineStr">
        <is>
          <t>235b-a22b</t>
        </is>
      </c>
      <c r="F182" s="13" t="inlineStr">
        <is>
          <t>Current</t>
        </is>
      </c>
      <c r="G182" s="13" t="inlineStr">
        <is>
          <t>Open MoE Flagship</t>
        </is>
      </c>
      <c r="H182" s="13" t="inlineStr">
        <is>
          <t>Fireworks AI</t>
        </is>
      </c>
      <c r="I182" s="13" t="inlineStr">
        <is>
          <t>Aggregator</t>
        </is>
      </c>
      <c r="J182" s="13" t="inlineStr">
        <is>
          <t>Not-keyed</t>
        </is>
      </c>
      <c r="K182" s="13" t="inlineStr">
        <is>
          <t>metered (not configured)</t>
        </is>
      </c>
      <c r="L182" s="13" t="inlineStr">
        <is>
          <t>No</t>
        </is>
      </c>
      <c r="M182" s="13" t="n">
        <v>8.4</v>
      </c>
      <c r="N182" s="13" t="n">
        <v>8.199999999999999</v>
      </c>
      <c r="O182" s="13" t="n">
        <v>8</v>
      </c>
      <c r="P182" s="13" t="n">
        <v>7.8</v>
      </c>
      <c r="Q182" s="13">
        <f>IFERROR(ROUND(AVERAGE(M182:P182),1),"")</f>
        <v/>
      </c>
      <c r="R182" s="13" t="n">
        <v>8.199999999999999</v>
      </c>
      <c r="S182" s="13" t="n">
        <v>7.8</v>
      </c>
      <c r="T182" s="13" t="n">
        <v>8</v>
      </c>
      <c r="U182" s="13" t="n">
        <v>8.199999999999999</v>
      </c>
      <c r="V182" s="13">
        <f>IFERROR(ROUND(AVERAGE(R182:U182),1),"")</f>
        <v/>
      </c>
      <c r="W182" s="13" t="n">
        <v>8.4</v>
      </c>
      <c r="X182" s="13" t="n">
        <v>8</v>
      </c>
      <c r="Y182" s="13" t="n">
        <v>7.6</v>
      </c>
      <c r="Z182" s="13" t="n">
        <v>8.4</v>
      </c>
      <c r="AA182" s="13">
        <f>IFERROR(ROUND(AVERAGE(W182:Z182),1),"")</f>
        <v/>
      </c>
      <c r="AB182" s="13" t="n">
        <v>8</v>
      </c>
      <c r="AC182" s="13" t="n">
        <v>8</v>
      </c>
      <c r="AD182" s="13" t="n">
        <v>7.8</v>
      </c>
      <c r="AE182" s="13" t="n">
        <v>8.199999999999999</v>
      </c>
      <c r="AF182" s="13">
        <f>IFERROR(ROUND(AVERAGE(AB182:AE182),1),"")</f>
        <v/>
      </c>
      <c r="AG182" s="13" t="n">
        <v>7.8</v>
      </c>
      <c r="AH182" s="13" t="n">
        <v>7</v>
      </c>
      <c r="AI182" s="13" t="n">
        <v>8</v>
      </c>
      <c r="AJ182" s="13" t="n">
        <v>8.199999999999999</v>
      </c>
      <c r="AK182" s="13">
        <f>IFERROR(ROUND(AVERAGE(AG182:AJ182),1),"")</f>
        <v/>
      </c>
      <c r="AL182" s="13" t="inlineStr"/>
      <c r="AM182" s="13" t="inlineStr"/>
      <c r="AN182" s="13" t="inlineStr"/>
      <c r="AO182" s="13">
        <f>IFERROR(ROUND(AVERAGE(AL182:AN182),1),"")</f>
        <v/>
      </c>
      <c r="AP182" s="13" t="n">
        <v>7.5</v>
      </c>
      <c r="AQ182" s="13" t="n">
        <v>7.5</v>
      </c>
      <c r="AR182" s="13" t="n">
        <v>8</v>
      </c>
      <c r="AS182" s="13" t="n">
        <v>8.5</v>
      </c>
      <c r="AT182" s="13">
        <f>IFERROR(ROUND(AVERAGE(AP182:AS182),1),"")</f>
        <v/>
      </c>
      <c r="AU182" s="13" t="n">
        <v>7.6</v>
      </c>
      <c r="AV182" s="13" t="n">
        <v>7.6</v>
      </c>
      <c r="AW182" s="13" t="n">
        <v>7.4</v>
      </c>
      <c r="AX182" s="13" t="n">
        <v>7.6</v>
      </c>
      <c r="AY182" s="13">
        <f>IFERROR(ROUND(AVERAGE(AU182:AX182),1),"")</f>
        <v/>
      </c>
      <c r="AZ182" s="13">
        <f>ROUND(0.19*N(Q182)+0.17*N(V182)+0.17*N(AA182)+0.1*N(AF182)+0.09*N(AK182)+0.12*N(AT182)+0.16*N(AY182),1)</f>
        <v/>
      </c>
      <c r="BA182" s="13" t="inlineStr">
        <is>
          <t>256K</t>
        </is>
      </c>
      <c r="BB182" s="13" t="n"/>
      <c r="BC182" s="13" t="inlineStr"/>
      <c r="BD182" s="13" t="inlineStr"/>
      <c r="BE182" s="13" t="inlineStr">
        <is>
          <t>high</t>
        </is>
      </c>
      <c r="BF182" s="13" t="n">
        <v>4</v>
      </c>
      <c r="BG182" s="13" t="n">
        <v>4</v>
      </c>
      <c r="BH182" s="13" t="inlineStr">
        <is>
          <t>Strong open MoE; BFCL-leading tool calling</t>
        </is>
      </c>
      <c r="BI182" s="13" t="inlineStr"/>
      <c r="BJ182" s="15" t="inlineStr">
        <is>
          <t>M</t>
        </is>
      </c>
      <c r="BK182" s="13" t="inlineStr">
        <is>
          <t>BFCL/agentic-strong open model; family-inherited estimate (scaled from flagship); verify before HIGH-stakes routing</t>
        </is>
      </c>
      <c r="BL182" s="13" t="inlineStr">
        <is>
          <t>2026-06-07</t>
        </is>
      </c>
    </row>
    <row r="183">
      <c r="A183" s="13" t="inlineStr">
        <is>
          <t>qwen3-235b-a22b</t>
        </is>
      </c>
      <c r="B183" s="13" t="inlineStr">
        <is>
          <t>Qwen3 235B-A22B</t>
        </is>
      </c>
      <c r="C183" s="13" t="inlineStr">
        <is>
          <t>Alibaba</t>
        </is>
      </c>
      <c r="D183" s="13" t="inlineStr">
        <is>
          <t>Qwen3</t>
        </is>
      </c>
      <c r="E183" s="13" t="inlineStr">
        <is>
          <t>235b-a22b</t>
        </is>
      </c>
      <c r="F183" s="13" t="inlineStr">
        <is>
          <t>Current</t>
        </is>
      </c>
      <c r="G183" s="13" t="inlineStr">
        <is>
          <t>Open MoE Flagship</t>
        </is>
      </c>
      <c r="H183" s="13" t="inlineStr">
        <is>
          <t>Amazon Bedrock (Kiro)</t>
        </is>
      </c>
      <c r="I183" s="13" t="inlineStr">
        <is>
          <t>Aggregator</t>
        </is>
      </c>
      <c r="J183" s="13" t="inlineStr">
        <is>
          <t>Installed; login unverified</t>
        </is>
      </c>
      <c r="K183" s="13" t="inlineStr">
        <is>
          <t>metered (not configured)</t>
        </is>
      </c>
      <c r="L183" s="13" t="inlineStr">
        <is>
          <t>No</t>
        </is>
      </c>
      <c r="M183" s="13" t="n">
        <v>8.4</v>
      </c>
      <c r="N183" s="13" t="n">
        <v>8.199999999999999</v>
      </c>
      <c r="O183" s="13" t="n">
        <v>8</v>
      </c>
      <c r="P183" s="13" t="n">
        <v>7.8</v>
      </c>
      <c r="Q183" s="13">
        <f>IFERROR(ROUND(AVERAGE(M183:P183),1),"")</f>
        <v/>
      </c>
      <c r="R183" s="13" t="n">
        <v>8.199999999999999</v>
      </c>
      <c r="S183" s="13" t="n">
        <v>7.8</v>
      </c>
      <c r="T183" s="13" t="n">
        <v>8</v>
      </c>
      <c r="U183" s="13" t="n">
        <v>8.199999999999999</v>
      </c>
      <c r="V183" s="13">
        <f>IFERROR(ROUND(AVERAGE(R183:U183),1),"")</f>
        <v/>
      </c>
      <c r="W183" s="13" t="n">
        <v>8.4</v>
      </c>
      <c r="X183" s="13" t="n">
        <v>8</v>
      </c>
      <c r="Y183" s="13" t="n">
        <v>7.6</v>
      </c>
      <c r="Z183" s="13" t="n">
        <v>8.4</v>
      </c>
      <c r="AA183" s="13">
        <f>IFERROR(ROUND(AVERAGE(W183:Z183),1),"")</f>
        <v/>
      </c>
      <c r="AB183" s="13" t="n">
        <v>8</v>
      </c>
      <c r="AC183" s="13" t="n">
        <v>8</v>
      </c>
      <c r="AD183" s="13" t="n">
        <v>7.8</v>
      </c>
      <c r="AE183" s="13" t="n">
        <v>8.199999999999999</v>
      </c>
      <c r="AF183" s="13">
        <f>IFERROR(ROUND(AVERAGE(AB183:AE183),1),"")</f>
        <v/>
      </c>
      <c r="AG183" s="13" t="n">
        <v>7.8</v>
      </c>
      <c r="AH183" s="13" t="n">
        <v>7</v>
      </c>
      <c r="AI183" s="13" t="n">
        <v>8</v>
      </c>
      <c r="AJ183" s="13" t="n">
        <v>8.199999999999999</v>
      </c>
      <c r="AK183" s="13">
        <f>IFERROR(ROUND(AVERAGE(AG183:AJ183),1),"")</f>
        <v/>
      </c>
      <c r="AL183" s="13" t="inlineStr"/>
      <c r="AM183" s="13" t="inlineStr"/>
      <c r="AN183" s="13" t="inlineStr"/>
      <c r="AO183" s="13">
        <f>IFERROR(ROUND(AVERAGE(AL183:AN183),1),"")</f>
        <v/>
      </c>
      <c r="AP183" s="13" t="n">
        <v>7.5</v>
      </c>
      <c r="AQ183" s="13" t="n">
        <v>7.5</v>
      </c>
      <c r="AR183" s="13" t="n">
        <v>8</v>
      </c>
      <c r="AS183" s="13" t="n">
        <v>8.5</v>
      </c>
      <c r="AT183" s="13">
        <f>IFERROR(ROUND(AVERAGE(AP183:AS183),1),"")</f>
        <v/>
      </c>
      <c r="AU183" s="13" t="n">
        <v>7.6</v>
      </c>
      <c r="AV183" s="13" t="n">
        <v>7.6</v>
      </c>
      <c r="AW183" s="13" t="n">
        <v>7.4</v>
      </c>
      <c r="AX183" s="13" t="n">
        <v>7.6</v>
      </c>
      <c r="AY183" s="13">
        <f>IFERROR(ROUND(AVERAGE(AU183:AX183),1),"")</f>
        <v/>
      </c>
      <c r="AZ183" s="13">
        <f>ROUND(0.19*N(Q183)+0.17*N(V183)+0.17*N(AA183)+0.1*N(AF183)+0.09*N(AK183)+0.12*N(AT183)+0.16*N(AY183),1)</f>
        <v/>
      </c>
      <c r="BA183" s="13" t="inlineStr">
        <is>
          <t>256K</t>
        </is>
      </c>
      <c r="BB183" s="13" t="n"/>
      <c r="BC183" s="13" t="inlineStr"/>
      <c r="BD183" s="13" t="inlineStr"/>
      <c r="BE183" s="13" t="inlineStr">
        <is>
          <t>high</t>
        </is>
      </c>
      <c r="BF183" s="13" t="n">
        <v>4</v>
      </c>
      <c r="BG183" s="13" t="n">
        <v>4</v>
      </c>
      <c r="BH183" s="13" t="inlineStr">
        <is>
          <t>Strong open MoE; BFCL-leading tool calling</t>
        </is>
      </c>
      <c r="BI183" s="13" t="inlineStr"/>
      <c r="BJ183" s="15" t="inlineStr">
        <is>
          <t>M</t>
        </is>
      </c>
      <c r="BK183" s="13" t="inlineStr">
        <is>
          <t>BFCL/agentic-strong open model; family-inherited estimate (scaled from flagship); verify before HIGH-stakes routing</t>
        </is>
      </c>
      <c r="BL183" s="13" t="inlineStr">
        <is>
          <t>2026-06-07</t>
        </is>
      </c>
    </row>
    <row r="184">
      <c r="A184" s="13" t="inlineStr">
        <is>
          <t>qwen3-235b-a22b</t>
        </is>
      </c>
      <c r="B184" s="13" t="inlineStr">
        <is>
          <t>Qwen3 235B-A22B</t>
        </is>
      </c>
      <c r="C184" s="13" t="inlineStr">
        <is>
          <t>Alibaba</t>
        </is>
      </c>
      <c r="D184" s="13" t="inlineStr">
        <is>
          <t>Qwen3</t>
        </is>
      </c>
      <c r="E184" s="13" t="inlineStr">
        <is>
          <t>235b-a22b</t>
        </is>
      </c>
      <c r="F184" s="13" t="inlineStr">
        <is>
          <t>Current</t>
        </is>
      </c>
      <c r="G184" s="13" t="inlineStr">
        <is>
          <t>Open MoE Flagship</t>
        </is>
      </c>
      <c r="H184" s="13" t="inlineStr">
        <is>
          <t>OpenRouter</t>
        </is>
      </c>
      <c r="I184" s="13" t="inlineStr">
        <is>
          <t>Aggregator</t>
        </is>
      </c>
      <c r="J184" s="13" t="inlineStr">
        <is>
          <t>Not-keyed</t>
        </is>
      </c>
      <c r="K184" s="13" t="inlineStr">
        <is>
          <t>metered (not configured)</t>
        </is>
      </c>
      <c r="L184" s="13" t="inlineStr">
        <is>
          <t>No</t>
        </is>
      </c>
      <c r="M184" s="13" t="n">
        <v>8.4</v>
      </c>
      <c r="N184" s="13" t="n">
        <v>8.199999999999999</v>
      </c>
      <c r="O184" s="13" t="n">
        <v>8</v>
      </c>
      <c r="P184" s="13" t="n">
        <v>7.8</v>
      </c>
      <c r="Q184" s="13">
        <f>IFERROR(ROUND(AVERAGE(M184:P184),1),"")</f>
        <v/>
      </c>
      <c r="R184" s="13" t="n">
        <v>8.199999999999999</v>
      </c>
      <c r="S184" s="13" t="n">
        <v>7.8</v>
      </c>
      <c r="T184" s="13" t="n">
        <v>8</v>
      </c>
      <c r="U184" s="13" t="n">
        <v>8.199999999999999</v>
      </c>
      <c r="V184" s="13">
        <f>IFERROR(ROUND(AVERAGE(R184:U184),1),"")</f>
        <v/>
      </c>
      <c r="W184" s="13" t="n">
        <v>8.4</v>
      </c>
      <c r="X184" s="13" t="n">
        <v>8</v>
      </c>
      <c r="Y184" s="13" t="n">
        <v>7.6</v>
      </c>
      <c r="Z184" s="13" t="n">
        <v>8.4</v>
      </c>
      <c r="AA184" s="13">
        <f>IFERROR(ROUND(AVERAGE(W184:Z184),1),"")</f>
        <v/>
      </c>
      <c r="AB184" s="13" t="n">
        <v>8</v>
      </c>
      <c r="AC184" s="13" t="n">
        <v>8</v>
      </c>
      <c r="AD184" s="13" t="n">
        <v>7.8</v>
      </c>
      <c r="AE184" s="13" t="n">
        <v>8.199999999999999</v>
      </c>
      <c r="AF184" s="13">
        <f>IFERROR(ROUND(AVERAGE(AB184:AE184),1),"")</f>
        <v/>
      </c>
      <c r="AG184" s="13" t="n">
        <v>7.8</v>
      </c>
      <c r="AH184" s="13" t="n">
        <v>7</v>
      </c>
      <c r="AI184" s="13" t="n">
        <v>8</v>
      </c>
      <c r="AJ184" s="13" t="n">
        <v>8.199999999999999</v>
      </c>
      <c r="AK184" s="13">
        <f>IFERROR(ROUND(AVERAGE(AG184:AJ184),1),"")</f>
        <v/>
      </c>
      <c r="AL184" s="13" t="inlineStr"/>
      <c r="AM184" s="13" t="inlineStr"/>
      <c r="AN184" s="13" t="inlineStr"/>
      <c r="AO184" s="13">
        <f>IFERROR(ROUND(AVERAGE(AL184:AN184),1),"")</f>
        <v/>
      </c>
      <c r="AP184" s="13" t="n">
        <v>7.5</v>
      </c>
      <c r="AQ184" s="13" t="n">
        <v>7.5</v>
      </c>
      <c r="AR184" s="13" t="n">
        <v>8</v>
      </c>
      <c r="AS184" s="13" t="n">
        <v>8.5</v>
      </c>
      <c r="AT184" s="13">
        <f>IFERROR(ROUND(AVERAGE(AP184:AS184),1),"")</f>
        <v/>
      </c>
      <c r="AU184" s="13" t="n">
        <v>7.6</v>
      </c>
      <c r="AV184" s="13" t="n">
        <v>7.6</v>
      </c>
      <c r="AW184" s="13" t="n">
        <v>7.4</v>
      </c>
      <c r="AX184" s="13" t="n">
        <v>7.6</v>
      </c>
      <c r="AY184" s="13">
        <f>IFERROR(ROUND(AVERAGE(AU184:AX184),1),"")</f>
        <v/>
      </c>
      <c r="AZ184" s="13">
        <f>ROUND(0.19*N(Q184)+0.17*N(V184)+0.17*N(AA184)+0.1*N(AF184)+0.09*N(AK184)+0.12*N(AT184)+0.16*N(AY184),1)</f>
        <v/>
      </c>
      <c r="BA184" s="13" t="inlineStr">
        <is>
          <t>256K</t>
        </is>
      </c>
      <c r="BB184" s="13" t="n"/>
      <c r="BC184" s="13" t="inlineStr"/>
      <c r="BD184" s="13" t="inlineStr"/>
      <c r="BE184" s="13" t="inlineStr">
        <is>
          <t>high</t>
        </is>
      </c>
      <c r="BF184" s="13" t="n">
        <v>4</v>
      </c>
      <c r="BG184" s="13" t="n">
        <v>4</v>
      </c>
      <c r="BH184" s="13" t="inlineStr">
        <is>
          <t>Strong open MoE; BFCL-leading tool calling</t>
        </is>
      </c>
      <c r="BI184" s="13" t="inlineStr"/>
      <c r="BJ184" s="15" t="inlineStr">
        <is>
          <t>M</t>
        </is>
      </c>
      <c r="BK184" s="13" t="inlineStr">
        <is>
          <t>BFCL/agentic-strong open model; family-inherited estimate (scaled from flagship); verify before HIGH-stakes routing</t>
        </is>
      </c>
      <c r="BL184" s="13" t="inlineStr">
        <is>
          <t>2026-06-07</t>
        </is>
      </c>
    </row>
    <row r="185">
      <c r="A185" s="13" t="inlineStr">
        <is>
          <t>qwen3-32b</t>
        </is>
      </c>
      <c r="B185" s="13" t="inlineStr">
        <is>
          <t>Qwen3 32B</t>
        </is>
      </c>
      <c r="C185" s="13" t="inlineStr">
        <is>
          <t>Alibaba</t>
        </is>
      </c>
      <c r="D185" s="13" t="inlineStr">
        <is>
          <t>Qwen3</t>
        </is>
      </c>
      <c r="E185" s="13" t="inlineStr">
        <is>
          <t>32b</t>
        </is>
      </c>
      <c r="F185" s="13" t="inlineStr">
        <is>
          <t>Current</t>
        </is>
      </c>
      <c r="G185" s="13" t="inlineStr">
        <is>
          <t>Open Dense (tool-strong)</t>
        </is>
      </c>
      <c r="H185" s="13" t="inlineStr">
        <is>
          <t>Alibaba DashScope</t>
        </is>
      </c>
      <c r="I185" s="13" t="inlineStr">
        <is>
          <t>HTTP API</t>
        </is>
      </c>
      <c r="J185" s="13" t="inlineStr">
        <is>
          <t>Not-keyed</t>
        </is>
      </c>
      <c r="K185" s="13" t="inlineStr">
        <is>
          <t>metered (not configured)</t>
        </is>
      </c>
      <c r="L185" s="13" t="inlineStr">
        <is>
          <t>No</t>
        </is>
      </c>
      <c r="M185" s="13" t="n">
        <v>7.6</v>
      </c>
      <c r="N185" s="13" t="n">
        <v>7.2</v>
      </c>
      <c r="O185" s="13" t="n">
        <v>7</v>
      </c>
      <c r="P185" s="13" t="n">
        <v>7.2</v>
      </c>
      <c r="Q185" s="13">
        <f>IFERROR(ROUND(AVERAGE(M185:P185),1),"")</f>
        <v/>
      </c>
      <c r="R185" s="13" t="n">
        <v>7.4</v>
      </c>
      <c r="S185" s="13" t="n">
        <v>6.8</v>
      </c>
      <c r="T185" s="13" t="n">
        <v>7</v>
      </c>
      <c r="U185" s="13" t="n">
        <v>7.4</v>
      </c>
      <c r="V185" s="13">
        <f>IFERROR(ROUND(AVERAGE(R185:U185),1),"")</f>
        <v/>
      </c>
      <c r="W185" s="13" t="n">
        <v>8</v>
      </c>
      <c r="X185" s="13" t="n">
        <v>7.6</v>
      </c>
      <c r="Y185" s="13" t="n">
        <v>6.8</v>
      </c>
      <c r="Z185" s="13" t="n">
        <v>7.8</v>
      </c>
      <c r="AA185" s="13">
        <f>IFERROR(ROUND(AVERAGE(W185:Z185),1),"")</f>
        <v/>
      </c>
      <c r="AB185" s="13" t="n">
        <v>7.4</v>
      </c>
      <c r="AC185" s="13" t="n">
        <v>7.4</v>
      </c>
      <c r="AD185" s="13" t="n">
        <v>7.2</v>
      </c>
      <c r="AE185" s="13" t="n">
        <v>7.8</v>
      </c>
      <c r="AF185" s="13">
        <f>IFERROR(ROUND(AVERAGE(AB185:AE185),1),"")</f>
        <v/>
      </c>
      <c r="AG185" s="13" t="n">
        <v>7.2</v>
      </c>
      <c r="AH185" s="13" t="n">
        <v>6.6</v>
      </c>
      <c r="AI185" s="13" t="n">
        <v>7.4</v>
      </c>
      <c r="AJ185" s="13" t="n">
        <v>7.4</v>
      </c>
      <c r="AK185" s="13">
        <f>IFERROR(ROUND(AVERAGE(AG185:AJ185),1),"")</f>
        <v/>
      </c>
      <c r="AL185" s="13" t="inlineStr"/>
      <c r="AM185" s="13" t="inlineStr"/>
      <c r="AN185" s="13" t="inlineStr"/>
      <c r="AO185" s="13">
        <f>IFERROR(ROUND(AVERAGE(AL185:AN185),1),"")</f>
        <v/>
      </c>
      <c r="AP185" s="13" t="n">
        <v>8</v>
      </c>
      <c r="AQ185" s="13" t="n">
        <v>8</v>
      </c>
      <c r="AR185" s="13" t="n">
        <v>7</v>
      </c>
      <c r="AS185" s="13" t="n">
        <v>9</v>
      </c>
      <c r="AT185" s="13">
        <f>IFERROR(ROUND(AVERAGE(AP185:AS185),1),"")</f>
        <v/>
      </c>
      <c r="AU185" s="13" t="n">
        <v>7.2</v>
      </c>
      <c r="AV185" s="13" t="n">
        <v>7.4</v>
      </c>
      <c r="AW185" s="13" t="n">
        <v>7.2</v>
      </c>
      <c r="AX185" s="13" t="n">
        <v>7.2</v>
      </c>
      <c r="AY185" s="13">
        <f>IFERROR(ROUND(AVERAGE(AU185:AX185),1),"")</f>
        <v/>
      </c>
      <c r="AZ185" s="13">
        <f>ROUND(0.19*N(Q185)+0.17*N(V185)+0.17*N(AA185)+0.1*N(AF185)+0.09*N(AK185)+0.12*N(AT185)+0.16*N(AY185),1)</f>
        <v/>
      </c>
      <c r="BA185" s="13" t="inlineStr">
        <is>
          <t>128K</t>
        </is>
      </c>
      <c r="BB185" s="13" t="n"/>
      <c r="BC185" s="13" t="inlineStr"/>
      <c r="BD185" s="13" t="inlineStr"/>
      <c r="BE185" s="13" t="inlineStr">
        <is>
          <t>high</t>
        </is>
      </c>
      <c r="BF185" s="13" t="n">
        <v>4</v>
      </c>
      <c r="BG185" s="13" t="n">
        <v>4</v>
      </c>
      <c r="BH185" s="13" t="inlineStr">
        <is>
          <t>Strong tool-calling for size (BFCL 75.7%)</t>
        </is>
      </c>
      <c r="BI185" s="13" t="inlineStr"/>
      <c r="BJ185" s="15" t="inlineStr">
        <is>
          <t>M</t>
        </is>
      </c>
      <c r="BK185" s="13" t="inlineStr">
        <is>
          <t>BFCL-strong dense; family-inherited estimate (scaled from flagship); verify before HIGH-stakes routing</t>
        </is>
      </c>
      <c r="BL185" s="13" t="inlineStr">
        <is>
          <t>2026-06-07</t>
        </is>
      </c>
    </row>
    <row r="186">
      <c r="A186" s="13" t="inlineStr">
        <is>
          <t>qwen3-32b</t>
        </is>
      </c>
      <c r="B186" s="13" t="inlineStr">
        <is>
          <t>Qwen3 32B</t>
        </is>
      </c>
      <c r="C186" s="13" t="inlineStr">
        <is>
          <t>Alibaba</t>
        </is>
      </c>
      <c r="D186" s="13" t="inlineStr">
        <is>
          <t>Qwen3</t>
        </is>
      </c>
      <c r="E186" s="13" t="inlineStr">
        <is>
          <t>32b</t>
        </is>
      </c>
      <c r="F186" s="13" t="inlineStr">
        <is>
          <t>Current</t>
        </is>
      </c>
      <c r="G186" s="13" t="inlineStr">
        <is>
          <t>Open Dense (tool-strong)</t>
        </is>
      </c>
      <c r="H186" s="13" t="inlineStr">
        <is>
          <t>Together AI</t>
        </is>
      </c>
      <c r="I186" s="13" t="inlineStr">
        <is>
          <t>Aggregator</t>
        </is>
      </c>
      <c r="J186" s="13" t="inlineStr">
        <is>
          <t>Not-keyed</t>
        </is>
      </c>
      <c r="K186" s="13" t="inlineStr">
        <is>
          <t>metered (not configured)</t>
        </is>
      </c>
      <c r="L186" s="13" t="inlineStr">
        <is>
          <t>No</t>
        </is>
      </c>
      <c r="M186" s="13" t="n">
        <v>7.6</v>
      </c>
      <c r="N186" s="13" t="n">
        <v>7.2</v>
      </c>
      <c r="O186" s="13" t="n">
        <v>7</v>
      </c>
      <c r="P186" s="13" t="n">
        <v>7.2</v>
      </c>
      <c r="Q186" s="13">
        <f>IFERROR(ROUND(AVERAGE(M186:P186),1),"")</f>
        <v/>
      </c>
      <c r="R186" s="13" t="n">
        <v>7.4</v>
      </c>
      <c r="S186" s="13" t="n">
        <v>6.8</v>
      </c>
      <c r="T186" s="13" t="n">
        <v>7</v>
      </c>
      <c r="U186" s="13" t="n">
        <v>7.4</v>
      </c>
      <c r="V186" s="13">
        <f>IFERROR(ROUND(AVERAGE(R186:U186),1),"")</f>
        <v/>
      </c>
      <c r="W186" s="13" t="n">
        <v>8</v>
      </c>
      <c r="X186" s="13" t="n">
        <v>7.6</v>
      </c>
      <c r="Y186" s="13" t="n">
        <v>6.8</v>
      </c>
      <c r="Z186" s="13" t="n">
        <v>7.8</v>
      </c>
      <c r="AA186" s="13">
        <f>IFERROR(ROUND(AVERAGE(W186:Z186),1),"")</f>
        <v/>
      </c>
      <c r="AB186" s="13" t="n">
        <v>7.4</v>
      </c>
      <c r="AC186" s="13" t="n">
        <v>7.4</v>
      </c>
      <c r="AD186" s="13" t="n">
        <v>7.2</v>
      </c>
      <c r="AE186" s="13" t="n">
        <v>7.8</v>
      </c>
      <c r="AF186" s="13">
        <f>IFERROR(ROUND(AVERAGE(AB186:AE186),1),"")</f>
        <v/>
      </c>
      <c r="AG186" s="13" t="n">
        <v>7.2</v>
      </c>
      <c r="AH186" s="13" t="n">
        <v>6.6</v>
      </c>
      <c r="AI186" s="13" t="n">
        <v>7.4</v>
      </c>
      <c r="AJ186" s="13" t="n">
        <v>7.4</v>
      </c>
      <c r="AK186" s="13">
        <f>IFERROR(ROUND(AVERAGE(AG186:AJ186),1),"")</f>
        <v/>
      </c>
      <c r="AL186" s="13" t="inlineStr"/>
      <c r="AM186" s="13" t="inlineStr"/>
      <c r="AN186" s="13" t="inlineStr"/>
      <c r="AO186" s="13">
        <f>IFERROR(ROUND(AVERAGE(AL186:AN186),1),"")</f>
        <v/>
      </c>
      <c r="AP186" s="13" t="n">
        <v>8</v>
      </c>
      <c r="AQ186" s="13" t="n">
        <v>8</v>
      </c>
      <c r="AR186" s="13" t="n">
        <v>7</v>
      </c>
      <c r="AS186" s="13" t="n">
        <v>9</v>
      </c>
      <c r="AT186" s="13">
        <f>IFERROR(ROUND(AVERAGE(AP186:AS186),1),"")</f>
        <v/>
      </c>
      <c r="AU186" s="13" t="n">
        <v>7.2</v>
      </c>
      <c r="AV186" s="13" t="n">
        <v>7.4</v>
      </c>
      <c r="AW186" s="13" t="n">
        <v>7.2</v>
      </c>
      <c r="AX186" s="13" t="n">
        <v>7.2</v>
      </c>
      <c r="AY186" s="13">
        <f>IFERROR(ROUND(AVERAGE(AU186:AX186),1),"")</f>
        <v/>
      </c>
      <c r="AZ186" s="13">
        <f>ROUND(0.19*N(Q186)+0.17*N(V186)+0.17*N(AA186)+0.1*N(AF186)+0.09*N(AK186)+0.12*N(AT186)+0.16*N(AY186),1)</f>
        <v/>
      </c>
      <c r="BA186" s="13" t="inlineStr">
        <is>
          <t>128K</t>
        </is>
      </c>
      <c r="BB186" s="13" t="n"/>
      <c r="BC186" s="13" t="inlineStr"/>
      <c r="BD186" s="13" t="inlineStr"/>
      <c r="BE186" s="13" t="inlineStr">
        <is>
          <t>high</t>
        </is>
      </c>
      <c r="BF186" s="13" t="n">
        <v>4</v>
      </c>
      <c r="BG186" s="13" t="n">
        <v>4</v>
      </c>
      <c r="BH186" s="13" t="inlineStr">
        <is>
          <t>Strong tool-calling for size (BFCL 75.7%)</t>
        </is>
      </c>
      <c r="BI186" s="13" t="inlineStr"/>
      <c r="BJ186" s="15" t="inlineStr">
        <is>
          <t>M</t>
        </is>
      </c>
      <c r="BK186" s="13" t="inlineStr">
        <is>
          <t>BFCL-strong dense; family-inherited estimate (scaled from flagship); verify before HIGH-stakes routing</t>
        </is>
      </c>
      <c r="BL186" s="13" t="inlineStr">
        <is>
          <t>2026-06-07</t>
        </is>
      </c>
    </row>
    <row r="187">
      <c r="A187" s="13" t="inlineStr">
        <is>
          <t>qwen3-32b</t>
        </is>
      </c>
      <c r="B187" s="13" t="inlineStr">
        <is>
          <t>Qwen3 32B</t>
        </is>
      </c>
      <c r="C187" s="13" t="inlineStr">
        <is>
          <t>Alibaba</t>
        </is>
      </c>
      <c r="D187" s="13" t="inlineStr">
        <is>
          <t>Qwen3</t>
        </is>
      </c>
      <c r="E187" s="13" t="inlineStr">
        <is>
          <t>32b</t>
        </is>
      </c>
      <c r="F187" s="13" t="inlineStr">
        <is>
          <t>Current</t>
        </is>
      </c>
      <c r="G187" s="13" t="inlineStr">
        <is>
          <t>Open Dense (tool-strong)</t>
        </is>
      </c>
      <c r="H187" s="13" t="inlineStr">
        <is>
          <t>OpenRouter</t>
        </is>
      </c>
      <c r="I187" s="13" t="inlineStr">
        <is>
          <t>Aggregator</t>
        </is>
      </c>
      <c r="J187" s="13" t="inlineStr">
        <is>
          <t>Not-keyed</t>
        </is>
      </c>
      <c r="K187" s="13" t="inlineStr">
        <is>
          <t>metered (not configured)</t>
        </is>
      </c>
      <c r="L187" s="13" t="inlineStr">
        <is>
          <t>No</t>
        </is>
      </c>
      <c r="M187" s="13" t="n">
        <v>7.6</v>
      </c>
      <c r="N187" s="13" t="n">
        <v>7.2</v>
      </c>
      <c r="O187" s="13" t="n">
        <v>7</v>
      </c>
      <c r="P187" s="13" t="n">
        <v>7.2</v>
      </c>
      <c r="Q187" s="13">
        <f>IFERROR(ROUND(AVERAGE(M187:P187),1),"")</f>
        <v/>
      </c>
      <c r="R187" s="13" t="n">
        <v>7.4</v>
      </c>
      <c r="S187" s="13" t="n">
        <v>6.8</v>
      </c>
      <c r="T187" s="13" t="n">
        <v>7</v>
      </c>
      <c r="U187" s="13" t="n">
        <v>7.4</v>
      </c>
      <c r="V187" s="13">
        <f>IFERROR(ROUND(AVERAGE(R187:U187),1),"")</f>
        <v/>
      </c>
      <c r="W187" s="13" t="n">
        <v>8</v>
      </c>
      <c r="X187" s="13" t="n">
        <v>7.6</v>
      </c>
      <c r="Y187" s="13" t="n">
        <v>6.8</v>
      </c>
      <c r="Z187" s="13" t="n">
        <v>7.8</v>
      </c>
      <c r="AA187" s="13">
        <f>IFERROR(ROUND(AVERAGE(W187:Z187),1),"")</f>
        <v/>
      </c>
      <c r="AB187" s="13" t="n">
        <v>7.4</v>
      </c>
      <c r="AC187" s="13" t="n">
        <v>7.4</v>
      </c>
      <c r="AD187" s="13" t="n">
        <v>7.2</v>
      </c>
      <c r="AE187" s="13" t="n">
        <v>7.8</v>
      </c>
      <c r="AF187" s="13">
        <f>IFERROR(ROUND(AVERAGE(AB187:AE187),1),"")</f>
        <v/>
      </c>
      <c r="AG187" s="13" t="n">
        <v>7.2</v>
      </c>
      <c r="AH187" s="13" t="n">
        <v>6.6</v>
      </c>
      <c r="AI187" s="13" t="n">
        <v>7.4</v>
      </c>
      <c r="AJ187" s="13" t="n">
        <v>7.4</v>
      </c>
      <c r="AK187" s="13">
        <f>IFERROR(ROUND(AVERAGE(AG187:AJ187),1),"")</f>
        <v/>
      </c>
      <c r="AL187" s="13" t="inlineStr"/>
      <c r="AM187" s="13" t="inlineStr"/>
      <c r="AN187" s="13" t="inlineStr"/>
      <c r="AO187" s="13">
        <f>IFERROR(ROUND(AVERAGE(AL187:AN187),1),"")</f>
        <v/>
      </c>
      <c r="AP187" s="13" t="n">
        <v>8</v>
      </c>
      <c r="AQ187" s="13" t="n">
        <v>8</v>
      </c>
      <c r="AR187" s="13" t="n">
        <v>7</v>
      </c>
      <c r="AS187" s="13" t="n">
        <v>9</v>
      </c>
      <c r="AT187" s="13">
        <f>IFERROR(ROUND(AVERAGE(AP187:AS187),1),"")</f>
        <v/>
      </c>
      <c r="AU187" s="13" t="n">
        <v>7.2</v>
      </c>
      <c r="AV187" s="13" t="n">
        <v>7.4</v>
      </c>
      <c r="AW187" s="13" t="n">
        <v>7.2</v>
      </c>
      <c r="AX187" s="13" t="n">
        <v>7.2</v>
      </c>
      <c r="AY187" s="13">
        <f>IFERROR(ROUND(AVERAGE(AU187:AX187),1),"")</f>
        <v/>
      </c>
      <c r="AZ187" s="13">
        <f>ROUND(0.19*N(Q187)+0.17*N(V187)+0.17*N(AA187)+0.1*N(AF187)+0.09*N(AK187)+0.12*N(AT187)+0.16*N(AY187),1)</f>
        <v/>
      </c>
      <c r="BA187" s="13" t="inlineStr">
        <is>
          <t>128K</t>
        </is>
      </c>
      <c r="BB187" s="13" t="n"/>
      <c r="BC187" s="13" t="inlineStr"/>
      <c r="BD187" s="13" t="inlineStr"/>
      <c r="BE187" s="13" t="inlineStr">
        <is>
          <t>high</t>
        </is>
      </c>
      <c r="BF187" s="13" t="n">
        <v>4</v>
      </c>
      <c r="BG187" s="13" t="n">
        <v>4</v>
      </c>
      <c r="BH187" s="13" t="inlineStr">
        <is>
          <t>Strong tool-calling for size (BFCL 75.7%)</t>
        </is>
      </c>
      <c r="BI187" s="13" t="inlineStr"/>
      <c r="BJ187" s="15" t="inlineStr">
        <is>
          <t>M</t>
        </is>
      </c>
      <c r="BK187" s="13" t="inlineStr">
        <is>
          <t>BFCL-strong dense; family-inherited estimate (scaled from flagship); verify before HIGH-stakes routing</t>
        </is>
      </c>
      <c r="BL187" s="13" t="inlineStr">
        <is>
          <t>2026-06-07</t>
        </is>
      </c>
    </row>
    <row r="188">
      <c r="A188" s="13" t="inlineStr">
        <is>
          <t>qwen2.5-coder:7b</t>
        </is>
      </c>
      <c r="B188" s="13" t="inlineStr">
        <is>
          <t>Qwen2.5 Coder 7B (local)</t>
        </is>
      </c>
      <c r="C188" s="13" t="inlineStr">
        <is>
          <t>Alibaba</t>
        </is>
      </c>
      <c r="D188" s="13" t="inlineStr">
        <is>
          <t>Qwen2.5 Coder</t>
        </is>
      </c>
      <c r="E188" s="13" t="inlineStr">
        <is>
          <t>7b</t>
        </is>
      </c>
      <c r="F188" s="13" t="inlineStr">
        <is>
          <t>Current</t>
        </is>
      </c>
      <c r="G188" s="13" t="inlineStr">
        <is>
          <t>Coder / Local</t>
        </is>
      </c>
      <c r="H188" s="13" t="inlineStr">
        <is>
          <t>Ollama (local)</t>
        </is>
      </c>
      <c r="I188" s="13" t="inlineStr">
        <is>
          <t>Local</t>
        </is>
      </c>
      <c r="J188" s="13" t="inlineStr">
        <is>
          <t>Running (free)</t>
        </is>
      </c>
      <c r="K188" s="13" t="inlineStr">
        <is>
          <t>local_free</t>
        </is>
      </c>
      <c r="L188" s="13" t="inlineStr">
        <is>
          <t>Yes</t>
        </is>
      </c>
      <c r="M188" s="13" t="n">
        <v>6.2</v>
      </c>
      <c r="N188" s="13" t="n">
        <v>5.6</v>
      </c>
      <c r="O188" s="13" t="n">
        <v>5.4</v>
      </c>
      <c r="P188" s="13" t="n">
        <v>6</v>
      </c>
      <c r="Q188" s="13">
        <f>IFERROR(ROUND(AVERAGE(M188:P188),1),"")</f>
        <v/>
      </c>
      <c r="R188" s="13" t="n">
        <v>7.2</v>
      </c>
      <c r="S188" s="13" t="n">
        <v>6.2</v>
      </c>
      <c r="T188" s="13" t="n">
        <v>6.6</v>
      </c>
      <c r="U188" s="13" t="n">
        <v>7</v>
      </c>
      <c r="V188" s="13">
        <f>IFERROR(ROUND(AVERAGE(R188:U188),1),"")</f>
        <v/>
      </c>
      <c r="W188" s="13" t="n">
        <v>6.4</v>
      </c>
      <c r="X188" s="13" t="n">
        <v>6</v>
      </c>
      <c r="Y188" s="13" t="n">
        <v>5</v>
      </c>
      <c r="Z188" s="13" t="n">
        <v>6.4</v>
      </c>
      <c r="AA188" s="13">
        <f>IFERROR(ROUND(AVERAGE(W188:Z188),1),"")</f>
        <v/>
      </c>
      <c r="AB188" s="13" t="n">
        <v>6</v>
      </c>
      <c r="AC188" s="13" t="n">
        <v>6</v>
      </c>
      <c r="AD188" s="13" t="n">
        <v>6</v>
      </c>
      <c r="AE188" s="13" t="n">
        <v>6</v>
      </c>
      <c r="AF188" s="13">
        <f>IFERROR(ROUND(AVERAGE(AB188:AE188),1),"")</f>
        <v/>
      </c>
      <c r="AG188" s="13" t="n">
        <v>6</v>
      </c>
      <c r="AH188" s="13" t="n">
        <v>5.4</v>
      </c>
      <c r="AI188" s="13" t="n">
        <v>6.6</v>
      </c>
      <c r="AJ188" s="13" t="n">
        <v>6.2</v>
      </c>
      <c r="AK188" s="13">
        <f>IFERROR(ROUND(AVERAGE(AG188:AJ188),1),"")</f>
        <v/>
      </c>
      <c r="AL188" s="13" t="inlineStr"/>
      <c r="AM188" s="13" t="inlineStr"/>
      <c r="AN188" s="13" t="inlineStr"/>
      <c r="AO188" s="13">
        <f>IFERROR(ROUND(AVERAGE(AL188:AN188),1),"")</f>
        <v/>
      </c>
      <c r="AP188" s="13" t="n">
        <v>8</v>
      </c>
      <c r="AQ188" s="13" t="n">
        <v>7.5</v>
      </c>
      <c r="AR188" s="13" t="n">
        <v>5</v>
      </c>
      <c r="AS188" s="13" t="n">
        <v>9.6</v>
      </c>
      <c r="AT188" s="13">
        <f>IFERROR(ROUND(AVERAGE(AP188:AS188),1),"")</f>
        <v/>
      </c>
      <c r="AU188" s="13" t="n">
        <v>6.4</v>
      </c>
      <c r="AV188" s="13" t="n">
        <v>6.6</v>
      </c>
      <c r="AW188" s="13" t="n">
        <v>6.4</v>
      </c>
      <c r="AX188" s="13" t="n">
        <v>6.4</v>
      </c>
      <c r="AY188" s="13">
        <f>IFERROR(ROUND(AVERAGE(AU188:AX188),1),"")</f>
        <v/>
      </c>
      <c r="AZ188" s="13">
        <f>ROUND(0.19*N(Q188)+0.17*N(V188)+0.17*N(AA188)+0.1*N(AF188)+0.09*N(AK188)+0.12*N(AT188)+0.16*N(AY188),1)</f>
        <v/>
      </c>
      <c r="BA188" s="13" t="inlineStr">
        <is>
          <t>128K</t>
        </is>
      </c>
      <c r="BB188" s="13" t="n"/>
      <c r="BC188" s="13" t="inlineStr"/>
      <c r="BD188" s="13" t="inlineStr"/>
      <c r="BE188" s="13" t="inlineStr">
        <is>
          <t>medium</t>
        </is>
      </c>
      <c r="BF188" s="13" t="n">
        <v>3</v>
      </c>
      <c r="BG188" s="13" t="n">
        <v>3</v>
      </c>
      <c r="BH188" s="13" t="inlineStr">
        <is>
          <t>Local code completion/generation on Dell</t>
        </is>
      </c>
      <c r="BI188" s="13" t="inlineStr">
        <is>
          <t>Large-repo agentic SWE</t>
        </is>
      </c>
      <c r="BJ188" s="16" t="inlineStr">
        <is>
          <t>L</t>
        </is>
      </c>
      <c r="BK188" s="13" t="inlineStr">
        <is>
          <t>Local Ollama qwen2.5-coder:7b; family-inherited estimate (scaled from flagship); verify before HIGH-stakes routing</t>
        </is>
      </c>
      <c r="BL188" s="13" t="inlineStr">
        <is>
          <t>2026-06-07</t>
        </is>
      </c>
    </row>
    <row r="189">
      <c r="A189" s="13" t="inlineStr">
        <is>
          <t>glm-5.1</t>
        </is>
      </c>
      <c r="B189" s="13" t="inlineStr">
        <is>
          <t>GLM-5.1</t>
        </is>
      </c>
      <c r="C189" s="13" t="inlineStr">
        <is>
          <t>Zhipu AI</t>
        </is>
      </c>
      <c r="D189" s="13" t="inlineStr">
        <is>
          <t>GLM-5</t>
        </is>
      </c>
      <c r="E189" s="13" t="inlineStr">
        <is>
          <t>5.1</t>
        </is>
      </c>
      <c r="F189" s="13" t="inlineStr">
        <is>
          <t>Current</t>
        </is>
      </c>
      <c r="G189" s="13" t="inlineStr">
        <is>
          <t>Open Flagship (agentic)</t>
        </is>
      </c>
      <c r="H189" s="13" t="inlineStr">
        <is>
          <t>Ollama Cloud</t>
        </is>
      </c>
      <c r="I189" s="13" t="inlineStr">
        <is>
          <t>Aggregator</t>
        </is>
      </c>
      <c r="J189" s="13" t="inlineStr">
        <is>
          <t>Keyed + usage-tracked</t>
        </is>
      </c>
      <c r="K189" s="13" t="inlineStr">
        <is>
          <t>metered (tracked)</t>
        </is>
      </c>
      <c r="L189" s="13" t="inlineStr">
        <is>
          <t>No</t>
        </is>
      </c>
      <c r="M189" s="13" t="n">
        <v>8.4</v>
      </c>
      <c r="N189" s="13" t="n">
        <v>8</v>
      </c>
      <c r="O189" s="13" t="n">
        <v>8</v>
      </c>
      <c r="P189" s="13" t="n">
        <v>7.8</v>
      </c>
      <c r="Q189" s="13">
        <f>IFERROR(ROUND(AVERAGE(M189:P189),1),"")</f>
        <v/>
      </c>
      <c r="R189" s="13" t="n">
        <v>8.4</v>
      </c>
      <c r="S189" s="13" t="n">
        <v>8</v>
      </c>
      <c r="T189" s="13" t="n">
        <v>8</v>
      </c>
      <c r="U189" s="13" t="n">
        <v>8.4</v>
      </c>
      <c r="V189" s="13">
        <f>IFERROR(ROUND(AVERAGE(R189:U189),1),"")</f>
        <v/>
      </c>
      <c r="W189" s="13" t="n">
        <v>8.6</v>
      </c>
      <c r="X189" s="13" t="n">
        <v>8.199999999999999</v>
      </c>
      <c r="Y189" s="13" t="n">
        <v>8</v>
      </c>
      <c r="Z189" s="13" t="n">
        <v>8.4</v>
      </c>
      <c r="AA189" s="13">
        <f>IFERROR(ROUND(AVERAGE(W189:Z189),1),"")</f>
        <v/>
      </c>
      <c r="AB189" s="13" t="n">
        <v>8</v>
      </c>
      <c r="AC189" s="13" t="n">
        <v>8</v>
      </c>
      <c r="AD189" s="13" t="n">
        <v>7.8</v>
      </c>
      <c r="AE189" s="13" t="n">
        <v>8</v>
      </c>
      <c r="AF189" s="13">
        <f>IFERROR(ROUND(AVERAGE(AB189:AE189),1),"")</f>
        <v/>
      </c>
      <c r="AG189" s="13" t="n">
        <v>7.8</v>
      </c>
      <c r="AH189" s="13" t="n">
        <v>7</v>
      </c>
      <c r="AI189" s="13" t="n">
        <v>8</v>
      </c>
      <c r="AJ189" s="13" t="n">
        <v>8.199999999999999</v>
      </c>
      <c r="AK189" s="13">
        <f>IFERROR(ROUND(AVERAGE(AG189:AJ189),1),"")</f>
        <v/>
      </c>
      <c r="AL189" s="13" t="inlineStr"/>
      <c r="AM189" s="13" t="inlineStr"/>
      <c r="AN189" s="13" t="inlineStr"/>
      <c r="AO189" s="13">
        <f>IFERROR(ROUND(AVERAGE(AL189:AN189),1),"")</f>
        <v/>
      </c>
      <c r="AP189" s="13" t="n">
        <v>7.5</v>
      </c>
      <c r="AQ189" s="13" t="n">
        <v>7.5</v>
      </c>
      <c r="AR189" s="13" t="n">
        <v>7</v>
      </c>
      <c r="AS189" s="13" t="n">
        <v>8.5</v>
      </c>
      <c r="AT189" s="13">
        <f>IFERROR(ROUND(AVERAGE(AP189:AS189),1),"")</f>
        <v/>
      </c>
      <c r="AU189" s="13" t="n">
        <v>7.6</v>
      </c>
      <c r="AV189" s="13" t="n">
        <v>7.6</v>
      </c>
      <c r="AW189" s="13" t="n">
        <v>7.4</v>
      </c>
      <c r="AX189" s="13" t="n">
        <v>7.6</v>
      </c>
      <c r="AY189" s="13">
        <f>IFERROR(ROUND(AVERAGE(AU189:AX189),1),"")</f>
        <v/>
      </c>
      <c r="AZ189" s="13">
        <f>ROUND(0.19*N(Q189)+0.17*N(V189)+0.17*N(AA189)+0.1*N(AF189)+0.09*N(AK189)+0.12*N(AT189)+0.16*N(AY189),1)</f>
        <v/>
      </c>
      <c r="BA189" s="13" t="inlineStr">
        <is>
          <t>200K</t>
        </is>
      </c>
      <c r="BB189" s="13" t="n"/>
      <c r="BC189" s="13" t="inlineStr"/>
      <c r="BD189" s="13" t="inlineStr"/>
      <c r="BE189" s="13" t="inlineStr">
        <is>
          <t>high</t>
        </is>
      </c>
      <c r="BF189" s="13" t="n">
        <v>4</v>
      </c>
      <c r="BG189" s="13" t="n">
        <v>4</v>
      </c>
      <c r="BH189" s="13" t="inlineStr">
        <is>
          <t>Open agentic/coding leader; tool calling (BFCL-strong)</t>
        </is>
      </c>
      <c r="BI189" s="13" t="inlineStr"/>
      <c r="BJ189" s="15" t="inlineStr">
        <is>
          <t>M</t>
        </is>
      </c>
      <c r="BK189" s="13" t="inlineStr">
        <is>
          <t>GLM-5 SWE-bench 77.8% (open lead); BFCL-strong; benchmark-anchored (AA Index, SWE-bench, GPQA, ARC-AGI-2, Aider, MMMU 2026-06)</t>
        </is>
      </c>
      <c r="BL189" s="13" t="inlineStr">
        <is>
          <t>2026-06-07</t>
        </is>
      </c>
    </row>
    <row r="190">
      <c r="A190" s="13" t="inlineStr">
        <is>
          <t>glm-5.1</t>
        </is>
      </c>
      <c r="B190" s="13" t="inlineStr">
        <is>
          <t>GLM-5.1</t>
        </is>
      </c>
      <c r="C190" s="13" t="inlineStr">
        <is>
          <t>Zhipu AI</t>
        </is>
      </c>
      <c r="D190" s="13" t="inlineStr">
        <is>
          <t>GLM-5</t>
        </is>
      </c>
      <c r="E190" s="13" t="inlineStr">
        <is>
          <t>5.1</t>
        </is>
      </c>
      <c r="F190" s="13" t="inlineStr">
        <is>
          <t>Current</t>
        </is>
      </c>
      <c r="G190" s="13" t="inlineStr">
        <is>
          <t>Open Flagship (agentic)</t>
        </is>
      </c>
      <c r="H190" s="13" t="inlineStr">
        <is>
          <t>OpenRouter</t>
        </is>
      </c>
      <c r="I190" s="13" t="inlineStr">
        <is>
          <t>Aggregator</t>
        </is>
      </c>
      <c r="J190" s="13" t="inlineStr">
        <is>
          <t>Not-keyed</t>
        </is>
      </c>
      <c r="K190" s="13" t="inlineStr">
        <is>
          <t>metered (not configured)</t>
        </is>
      </c>
      <c r="L190" s="13" t="inlineStr">
        <is>
          <t>No</t>
        </is>
      </c>
      <c r="M190" s="13" t="n">
        <v>8.4</v>
      </c>
      <c r="N190" s="13" t="n">
        <v>8</v>
      </c>
      <c r="O190" s="13" t="n">
        <v>8</v>
      </c>
      <c r="P190" s="13" t="n">
        <v>7.8</v>
      </c>
      <c r="Q190" s="13">
        <f>IFERROR(ROUND(AVERAGE(M190:P190),1),"")</f>
        <v/>
      </c>
      <c r="R190" s="13" t="n">
        <v>8.4</v>
      </c>
      <c r="S190" s="13" t="n">
        <v>8</v>
      </c>
      <c r="T190" s="13" t="n">
        <v>8</v>
      </c>
      <c r="U190" s="13" t="n">
        <v>8.4</v>
      </c>
      <c r="V190" s="13">
        <f>IFERROR(ROUND(AVERAGE(R190:U190),1),"")</f>
        <v/>
      </c>
      <c r="W190" s="13" t="n">
        <v>8.6</v>
      </c>
      <c r="X190" s="13" t="n">
        <v>8.199999999999999</v>
      </c>
      <c r="Y190" s="13" t="n">
        <v>8</v>
      </c>
      <c r="Z190" s="13" t="n">
        <v>8.4</v>
      </c>
      <c r="AA190" s="13">
        <f>IFERROR(ROUND(AVERAGE(W190:Z190),1),"")</f>
        <v/>
      </c>
      <c r="AB190" s="13" t="n">
        <v>8</v>
      </c>
      <c r="AC190" s="13" t="n">
        <v>8</v>
      </c>
      <c r="AD190" s="13" t="n">
        <v>7.8</v>
      </c>
      <c r="AE190" s="13" t="n">
        <v>8</v>
      </c>
      <c r="AF190" s="13">
        <f>IFERROR(ROUND(AVERAGE(AB190:AE190),1),"")</f>
        <v/>
      </c>
      <c r="AG190" s="13" t="n">
        <v>7.8</v>
      </c>
      <c r="AH190" s="13" t="n">
        <v>7</v>
      </c>
      <c r="AI190" s="13" t="n">
        <v>8</v>
      </c>
      <c r="AJ190" s="13" t="n">
        <v>8.199999999999999</v>
      </c>
      <c r="AK190" s="13">
        <f>IFERROR(ROUND(AVERAGE(AG190:AJ190),1),"")</f>
        <v/>
      </c>
      <c r="AL190" s="13" t="inlineStr"/>
      <c r="AM190" s="13" t="inlineStr"/>
      <c r="AN190" s="13" t="inlineStr"/>
      <c r="AO190" s="13">
        <f>IFERROR(ROUND(AVERAGE(AL190:AN190),1),"")</f>
        <v/>
      </c>
      <c r="AP190" s="13" t="n">
        <v>7.5</v>
      </c>
      <c r="AQ190" s="13" t="n">
        <v>7.5</v>
      </c>
      <c r="AR190" s="13" t="n">
        <v>7</v>
      </c>
      <c r="AS190" s="13" t="n">
        <v>8.5</v>
      </c>
      <c r="AT190" s="13">
        <f>IFERROR(ROUND(AVERAGE(AP190:AS190),1),"")</f>
        <v/>
      </c>
      <c r="AU190" s="13" t="n">
        <v>7.6</v>
      </c>
      <c r="AV190" s="13" t="n">
        <v>7.6</v>
      </c>
      <c r="AW190" s="13" t="n">
        <v>7.4</v>
      </c>
      <c r="AX190" s="13" t="n">
        <v>7.6</v>
      </c>
      <c r="AY190" s="13">
        <f>IFERROR(ROUND(AVERAGE(AU190:AX190),1),"")</f>
        <v/>
      </c>
      <c r="AZ190" s="13">
        <f>ROUND(0.19*N(Q190)+0.17*N(V190)+0.17*N(AA190)+0.1*N(AF190)+0.09*N(AK190)+0.12*N(AT190)+0.16*N(AY190),1)</f>
        <v/>
      </c>
      <c r="BA190" s="13" t="inlineStr">
        <is>
          <t>200K</t>
        </is>
      </c>
      <c r="BB190" s="13" t="n"/>
      <c r="BC190" s="13" t="inlineStr"/>
      <c r="BD190" s="13" t="inlineStr"/>
      <c r="BE190" s="13" t="inlineStr">
        <is>
          <t>high</t>
        </is>
      </c>
      <c r="BF190" s="13" t="n">
        <v>4</v>
      </c>
      <c r="BG190" s="13" t="n">
        <v>4</v>
      </c>
      <c r="BH190" s="13" t="inlineStr">
        <is>
          <t>Open agentic/coding leader; tool calling (BFCL-strong)</t>
        </is>
      </c>
      <c r="BI190" s="13" t="inlineStr"/>
      <c r="BJ190" s="15" t="inlineStr">
        <is>
          <t>M</t>
        </is>
      </c>
      <c r="BK190" s="13" t="inlineStr">
        <is>
          <t>GLM-5 SWE-bench 77.8% (open lead); BFCL-strong; benchmark-anchored (AA Index, SWE-bench, GPQA, ARC-AGI-2, Aider, MMMU 2026-06)</t>
        </is>
      </c>
      <c r="BL190" s="13" t="inlineStr">
        <is>
          <t>2026-06-07</t>
        </is>
      </c>
    </row>
    <row r="191">
      <c r="A191" s="13" t="inlineStr">
        <is>
          <t>glm-5</t>
        </is>
      </c>
      <c r="B191" s="13" t="inlineStr">
        <is>
          <t>GLM-5</t>
        </is>
      </c>
      <c r="C191" s="13" t="inlineStr">
        <is>
          <t>Zhipu AI</t>
        </is>
      </c>
      <c r="D191" s="13" t="inlineStr">
        <is>
          <t>GLM-5</t>
        </is>
      </c>
      <c r="E191" s="13" t="inlineStr">
        <is>
          <t>5</t>
        </is>
      </c>
      <c r="F191" s="13" t="inlineStr">
        <is>
          <t>Current</t>
        </is>
      </c>
      <c r="G191" s="13" t="inlineStr">
        <is>
          <t>Open (general)</t>
        </is>
      </c>
      <c r="H191" s="13" t="inlineStr">
        <is>
          <t>Ollama Cloud</t>
        </is>
      </c>
      <c r="I191" s="13" t="inlineStr">
        <is>
          <t>Aggregator</t>
        </is>
      </c>
      <c r="J191" s="13" t="inlineStr">
        <is>
          <t>Keyed + usage-tracked</t>
        </is>
      </c>
      <c r="K191" s="13" t="inlineStr">
        <is>
          <t>metered (tracked)</t>
        </is>
      </c>
      <c r="L191" s="13" t="inlineStr">
        <is>
          <t>No</t>
        </is>
      </c>
      <c r="M191" s="13" t="n">
        <v>8</v>
      </c>
      <c r="N191" s="13" t="n">
        <v>7.6</v>
      </c>
      <c r="O191" s="13" t="n">
        <v>7.6</v>
      </c>
      <c r="P191" s="13" t="n">
        <v>7.6</v>
      </c>
      <c r="Q191" s="13">
        <f>IFERROR(ROUND(AVERAGE(M191:P191),1),"")</f>
        <v/>
      </c>
      <c r="R191" s="13" t="n">
        <v>8</v>
      </c>
      <c r="S191" s="13" t="n">
        <v>7.6</v>
      </c>
      <c r="T191" s="13" t="n">
        <v>7.6</v>
      </c>
      <c r="U191" s="13" t="n">
        <v>8</v>
      </c>
      <c r="V191" s="13">
        <f>IFERROR(ROUND(AVERAGE(R191:U191),1),"")</f>
        <v/>
      </c>
      <c r="W191" s="13" t="n">
        <v>8.199999999999999</v>
      </c>
      <c r="X191" s="13" t="n">
        <v>7.8</v>
      </c>
      <c r="Y191" s="13" t="n">
        <v>7.6</v>
      </c>
      <c r="Z191" s="13" t="n">
        <v>8</v>
      </c>
      <c r="AA191" s="13">
        <f>IFERROR(ROUND(AVERAGE(W191:Z191),1),"")</f>
        <v/>
      </c>
      <c r="AB191" s="13" t="n">
        <v>7.8</v>
      </c>
      <c r="AC191" s="13" t="n">
        <v>7.8</v>
      </c>
      <c r="AD191" s="13" t="n">
        <v>7.6</v>
      </c>
      <c r="AE191" s="13" t="n">
        <v>7.8</v>
      </c>
      <c r="AF191" s="13">
        <f>IFERROR(ROUND(AVERAGE(AB191:AE191),1),"")</f>
        <v/>
      </c>
      <c r="AG191" s="13" t="n">
        <v>7.6</v>
      </c>
      <c r="AH191" s="13" t="n">
        <v>6.8</v>
      </c>
      <c r="AI191" s="13" t="n">
        <v>7.8</v>
      </c>
      <c r="AJ191" s="13" t="n">
        <v>8</v>
      </c>
      <c r="AK191" s="13">
        <f>IFERROR(ROUND(AVERAGE(AG191:AJ191),1),"")</f>
        <v/>
      </c>
      <c r="AL191" s="13" t="inlineStr"/>
      <c r="AM191" s="13" t="inlineStr"/>
      <c r="AN191" s="13" t="inlineStr"/>
      <c r="AO191" s="13">
        <f>IFERROR(ROUND(AVERAGE(AL191:AN191),1),"")</f>
        <v/>
      </c>
      <c r="AP191" s="13" t="n">
        <v>7.5</v>
      </c>
      <c r="AQ191" s="13" t="n">
        <v>7.5</v>
      </c>
      <c r="AR191" s="13" t="n">
        <v>7</v>
      </c>
      <c r="AS191" s="13" t="n">
        <v>8.6</v>
      </c>
      <c r="AT191" s="13">
        <f>IFERROR(ROUND(AVERAGE(AP191:AS191),1),"")</f>
        <v/>
      </c>
      <c r="AU191" s="13" t="n">
        <v>7.4</v>
      </c>
      <c r="AV191" s="13" t="n">
        <v>7.4</v>
      </c>
      <c r="AW191" s="13" t="n">
        <v>7.2</v>
      </c>
      <c r="AX191" s="13" t="n">
        <v>7.4</v>
      </c>
      <c r="AY191" s="13">
        <f>IFERROR(ROUND(AVERAGE(AU191:AX191),1),"")</f>
        <v/>
      </c>
      <c r="AZ191" s="13">
        <f>ROUND(0.19*N(Q191)+0.17*N(V191)+0.17*N(AA191)+0.1*N(AF191)+0.09*N(AK191)+0.12*N(AT191)+0.16*N(AY191),1)</f>
        <v/>
      </c>
      <c r="BA191" s="13" t="inlineStr">
        <is>
          <t>200K</t>
        </is>
      </c>
      <c r="BB191" s="13" t="n"/>
      <c r="BC191" s="13" t="inlineStr"/>
      <c r="BD191" s="13" t="inlineStr"/>
      <c r="BE191" s="13" t="inlineStr">
        <is>
          <t>high</t>
        </is>
      </c>
      <c r="BF191" s="13" t="n">
        <v>4</v>
      </c>
      <c r="BG191" s="13" t="n">
        <v>4</v>
      </c>
      <c r="BH191" s="13" t="inlineStr">
        <is>
          <t>Open general/agentic (SWE 77.8%)</t>
        </is>
      </c>
      <c r="BI191" s="13" t="inlineStr"/>
      <c r="BJ191" s="15" t="inlineStr">
        <is>
          <t>M</t>
        </is>
      </c>
      <c r="BK191" s="13" t="inlineStr">
        <is>
          <t>GLM-5 open; benchmark-anchored (AA Index, SWE-bench, GPQA, ARC-AGI-2, Aider, MMMU 2026-06)</t>
        </is>
      </c>
      <c r="BL191" s="13" t="inlineStr">
        <is>
          <t>2026-06-07</t>
        </is>
      </c>
    </row>
    <row r="192">
      <c r="A192" s="13" t="inlineStr">
        <is>
          <t>glm-5</t>
        </is>
      </c>
      <c r="B192" s="13" t="inlineStr">
        <is>
          <t>GLM-5</t>
        </is>
      </c>
      <c r="C192" s="13" t="inlineStr">
        <is>
          <t>Zhipu AI</t>
        </is>
      </c>
      <c r="D192" s="13" t="inlineStr">
        <is>
          <t>GLM-5</t>
        </is>
      </c>
      <c r="E192" s="13" t="inlineStr">
        <is>
          <t>5</t>
        </is>
      </c>
      <c r="F192" s="13" t="inlineStr">
        <is>
          <t>Current</t>
        </is>
      </c>
      <c r="G192" s="13" t="inlineStr">
        <is>
          <t>Open (general)</t>
        </is>
      </c>
      <c r="H192" s="13" t="inlineStr">
        <is>
          <t>OpenRouter</t>
        </is>
      </c>
      <c r="I192" s="13" t="inlineStr">
        <is>
          <t>Aggregator</t>
        </is>
      </c>
      <c r="J192" s="13" t="inlineStr">
        <is>
          <t>Not-keyed</t>
        </is>
      </c>
      <c r="K192" s="13" t="inlineStr">
        <is>
          <t>metered (not configured)</t>
        </is>
      </c>
      <c r="L192" s="13" t="inlineStr">
        <is>
          <t>No</t>
        </is>
      </c>
      <c r="M192" s="13" t="n">
        <v>8</v>
      </c>
      <c r="N192" s="13" t="n">
        <v>7.6</v>
      </c>
      <c r="O192" s="13" t="n">
        <v>7.6</v>
      </c>
      <c r="P192" s="13" t="n">
        <v>7.6</v>
      </c>
      <c r="Q192" s="13">
        <f>IFERROR(ROUND(AVERAGE(M192:P192),1),"")</f>
        <v/>
      </c>
      <c r="R192" s="13" t="n">
        <v>8</v>
      </c>
      <c r="S192" s="13" t="n">
        <v>7.6</v>
      </c>
      <c r="T192" s="13" t="n">
        <v>7.6</v>
      </c>
      <c r="U192" s="13" t="n">
        <v>8</v>
      </c>
      <c r="V192" s="13">
        <f>IFERROR(ROUND(AVERAGE(R192:U192),1),"")</f>
        <v/>
      </c>
      <c r="W192" s="13" t="n">
        <v>8.199999999999999</v>
      </c>
      <c r="X192" s="13" t="n">
        <v>7.8</v>
      </c>
      <c r="Y192" s="13" t="n">
        <v>7.6</v>
      </c>
      <c r="Z192" s="13" t="n">
        <v>8</v>
      </c>
      <c r="AA192" s="13">
        <f>IFERROR(ROUND(AVERAGE(W192:Z192),1),"")</f>
        <v/>
      </c>
      <c r="AB192" s="13" t="n">
        <v>7.8</v>
      </c>
      <c r="AC192" s="13" t="n">
        <v>7.8</v>
      </c>
      <c r="AD192" s="13" t="n">
        <v>7.6</v>
      </c>
      <c r="AE192" s="13" t="n">
        <v>7.8</v>
      </c>
      <c r="AF192" s="13">
        <f>IFERROR(ROUND(AVERAGE(AB192:AE192),1),"")</f>
        <v/>
      </c>
      <c r="AG192" s="13" t="n">
        <v>7.6</v>
      </c>
      <c r="AH192" s="13" t="n">
        <v>6.8</v>
      </c>
      <c r="AI192" s="13" t="n">
        <v>7.8</v>
      </c>
      <c r="AJ192" s="13" t="n">
        <v>8</v>
      </c>
      <c r="AK192" s="13">
        <f>IFERROR(ROUND(AVERAGE(AG192:AJ192),1),"")</f>
        <v/>
      </c>
      <c r="AL192" s="13" t="inlineStr"/>
      <c r="AM192" s="13" t="inlineStr"/>
      <c r="AN192" s="13" t="inlineStr"/>
      <c r="AO192" s="13">
        <f>IFERROR(ROUND(AVERAGE(AL192:AN192),1),"")</f>
        <v/>
      </c>
      <c r="AP192" s="13" t="n">
        <v>7.5</v>
      </c>
      <c r="AQ192" s="13" t="n">
        <v>7.5</v>
      </c>
      <c r="AR192" s="13" t="n">
        <v>7</v>
      </c>
      <c r="AS192" s="13" t="n">
        <v>8.6</v>
      </c>
      <c r="AT192" s="13">
        <f>IFERROR(ROUND(AVERAGE(AP192:AS192),1),"")</f>
        <v/>
      </c>
      <c r="AU192" s="13" t="n">
        <v>7.4</v>
      </c>
      <c r="AV192" s="13" t="n">
        <v>7.4</v>
      </c>
      <c r="AW192" s="13" t="n">
        <v>7.2</v>
      </c>
      <c r="AX192" s="13" t="n">
        <v>7.4</v>
      </c>
      <c r="AY192" s="13">
        <f>IFERROR(ROUND(AVERAGE(AU192:AX192),1),"")</f>
        <v/>
      </c>
      <c r="AZ192" s="13">
        <f>ROUND(0.19*N(Q192)+0.17*N(V192)+0.17*N(AA192)+0.1*N(AF192)+0.09*N(AK192)+0.12*N(AT192)+0.16*N(AY192),1)</f>
        <v/>
      </c>
      <c r="BA192" s="13" t="inlineStr">
        <is>
          <t>200K</t>
        </is>
      </c>
      <c r="BB192" s="13" t="n"/>
      <c r="BC192" s="13" t="inlineStr"/>
      <c r="BD192" s="13" t="inlineStr"/>
      <c r="BE192" s="13" t="inlineStr">
        <is>
          <t>high</t>
        </is>
      </c>
      <c r="BF192" s="13" t="n">
        <v>4</v>
      </c>
      <c r="BG192" s="13" t="n">
        <v>4</v>
      </c>
      <c r="BH192" s="13" t="inlineStr">
        <is>
          <t>Open general/agentic (SWE 77.8%)</t>
        </is>
      </c>
      <c r="BI192" s="13" t="inlineStr"/>
      <c r="BJ192" s="15" t="inlineStr">
        <is>
          <t>M</t>
        </is>
      </c>
      <c r="BK192" s="13" t="inlineStr">
        <is>
          <t>GLM-5 open; benchmark-anchored (AA Index, SWE-bench, GPQA, ARC-AGI-2, Aider, MMMU 2026-06)</t>
        </is>
      </c>
      <c r="BL192" s="13" t="inlineStr">
        <is>
          <t>2026-06-07</t>
        </is>
      </c>
    </row>
    <row r="193">
      <c r="A193" s="13" t="inlineStr">
        <is>
          <t>minimax-m2.7</t>
        </is>
      </c>
      <c r="B193" s="13" t="inlineStr">
        <is>
          <t>MiniMax M2.7</t>
        </is>
      </c>
      <c r="C193" s="13" t="inlineStr">
        <is>
          <t>MiniMax</t>
        </is>
      </c>
      <c r="D193" s="13" t="inlineStr">
        <is>
          <t>MiniMax M2</t>
        </is>
      </c>
      <c r="E193" s="13" t="inlineStr">
        <is>
          <t>2.7</t>
        </is>
      </c>
      <c r="F193" s="13" t="inlineStr">
        <is>
          <t>Legacy (prior)</t>
        </is>
      </c>
      <c r="G193" s="13" t="inlineStr">
        <is>
          <t>Open (agentic/coding)</t>
        </is>
      </c>
      <c r="H193" s="13" t="inlineStr">
        <is>
          <t>Ollama Cloud</t>
        </is>
      </c>
      <c r="I193" s="13" t="inlineStr">
        <is>
          <t>Aggregator</t>
        </is>
      </c>
      <c r="J193" s="13" t="inlineStr">
        <is>
          <t>Keyed + usage-tracked</t>
        </is>
      </c>
      <c r="K193" s="13" t="inlineStr">
        <is>
          <t>metered (tracked)</t>
        </is>
      </c>
      <c r="L193" s="13" t="inlineStr">
        <is>
          <t>No</t>
        </is>
      </c>
      <c r="M193" s="13" t="n">
        <v>8.199999999999999</v>
      </c>
      <c r="N193" s="13" t="n">
        <v>7.8</v>
      </c>
      <c r="O193" s="13" t="n">
        <v>7.8</v>
      </c>
      <c r="P193" s="13" t="n">
        <v>7.6</v>
      </c>
      <c r="Q193" s="13">
        <f>IFERROR(ROUND(AVERAGE(M193:P193),1),"")</f>
        <v/>
      </c>
      <c r="R193" s="13" t="n">
        <v>8.199999999999999</v>
      </c>
      <c r="S193" s="13" t="n">
        <v>7.8</v>
      </c>
      <c r="T193" s="13" t="n">
        <v>7.8</v>
      </c>
      <c r="U193" s="13" t="n">
        <v>8.199999999999999</v>
      </c>
      <c r="V193" s="13">
        <f>IFERROR(ROUND(AVERAGE(R193:U193),1),"")</f>
        <v/>
      </c>
      <c r="W193" s="13" t="n">
        <v>8.4</v>
      </c>
      <c r="X193" s="13" t="n">
        <v>8</v>
      </c>
      <c r="Y193" s="13" t="n">
        <v>7.8</v>
      </c>
      <c r="Z193" s="13" t="n">
        <v>8.199999999999999</v>
      </c>
      <c r="AA193" s="13">
        <f>IFERROR(ROUND(AVERAGE(W193:Z193),1),"")</f>
        <v/>
      </c>
      <c r="AB193" s="13" t="n">
        <v>7.8</v>
      </c>
      <c r="AC193" s="13" t="n">
        <v>7.8</v>
      </c>
      <c r="AD193" s="13" t="n">
        <v>7.6</v>
      </c>
      <c r="AE193" s="13" t="n">
        <v>7.8</v>
      </c>
      <c r="AF193" s="13">
        <f>IFERROR(ROUND(AVERAGE(AB193:AE193),1),"")</f>
        <v/>
      </c>
      <c r="AG193" s="13" t="n">
        <v>7.6</v>
      </c>
      <c r="AH193" s="13" t="n">
        <v>7</v>
      </c>
      <c r="AI193" s="13" t="n">
        <v>7.8</v>
      </c>
      <c r="AJ193" s="13" t="n">
        <v>8</v>
      </c>
      <c r="AK193" s="13">
        <f>IFERROR(ROUND(AVERAGE(AG193:AJ193),1),"")</f>
        <v/>
      </c>
      <c r="AL193" s="13" t="inlineStr"/>
      <c r="AM193" s="13" t="inlineStr"/>
      <c r="AN193" s="13" t="inlineStr"/>
      <c r="AO193" s="13">
        <f>IFERROR(ROUND(AVERAGE(AL193:AN193),1),"")</f>
        <v/>
      </c>
      <c r="AP193" s="13" t="n">
        <v>7.5</v>
      </c>
      <c r="AQ193" s="13" t="n">
        <v>7.5</v>
      </c>
      <c r="AR193" s="13" t="n">
        <v>8</v>
      </c>
      <c r="AS193" s="13" t="n">
        <v>8.6</v>
      </c>
      <c r="AT193" s="13">
        <f>IFERROR(ROUND(AVERAGE(AP193:AS193),1),"")</f>
        <v/>
      </c>
      <c r="AU193" s="13" t="n">
        <v>7.4</v>
      </c>
      <c r="AV193" s="13" t="n">
        <v>7.4</v>
      </c>
      <c r="AW193" s="13" t="n">
        <v>7.2</v>
      </c>
      <c r="AX193" s="13" t="n">
        <v>7.4</v>
      </c>
      <c r="AY193" s="13">
        <f>IFERROR(ROUND(AVERAGE(AU193:AX193),1),"")</f>
        <v/>
      </c>
      <c r="AZ193" s="13">
        <f>ROUND(0.19*N(Q193)+0.17*N(V193)+0.17*N(AA193)+0.1*N(AF193)+0.09*N(AK193)+0.12*N(AT193)+0.16*N(AY193),1)</f>
        <v/>
      </c>
      <c r="BA193" s="13" t="inlineStr">
        <is>
          <t>1M</t>
        </is>
      </c>
      <c r="BB193" s="13" t="n"/>
      <c r="BC193" s="13" t="inlineStr"/>
      <c r="BD193" s="13" t="inlineStr"/>
      <c r="BE193" s="13" t="inlineStr">
        <is>
          <t>high</t>
        </is>
      </c>
      <c r="BF193" s="13" t="n">
        <v>4</v>
      </c>
      <c r="BG193" s="13" t="n">
        <v>4</v>
      </c>
      <c r="BH193" s="13" t="inlineStr">
        <is>
          <t>Agentic/coding open MoE, long context</t>
        </is>
      </c>
      <c r="BI193" s="13" t="inlineStr"/>
      <c r="BJ193" s="15" t="inlineStr">
        <is>
          <t>M</t>
        </is>
      </c>
      <c r="BK193" s="13" t="inlineStr">
        <is>
          <t>Large MoE; via Ollama Cloud (tracked); family-inherited estimate (scaled from flagship); verify before HIGH-stakes routing</t>
        </is>
      </c>
      <c r="BL193" s="13" t="inlineStr">
        <is>
          <t>2026-06-07</t>
        </is>
      </c>
    </row>
    <row r="194">
      <c r="A194" s="13" t="inlineStr">
        <is>
          <t>minimax-m2.7</t>
        </is>
      </c>
      <c r="B194" s="13" t="inlineStr">
        <is>
          <t>MiniMax M2.7</t>
        </is>
      </c>
      <c r="C194" s="13" t="inlineStr">
        <is>
          <t>MiniMax</t>
        </is>
      </c>
      <c r="D194" s="13" t="inlineStr">
        <is>
          <t>MiniMax M2</t>
        </is>
      </c>
      <c r="E194" s="13" t="inlineStr">
        <is>
          <t>2.7</t>
        </is>
      </c>
      <c r="F194" s="13" t="inlineStr">
        <is>
          <t>Legacy (prior)</t>
        </is>
      </c>
      <c r="G194" s="13" t="inlineStr">
        <is>
          <t>Open (agentic/coding)</t>
        </is>
      </c>
      <c r="H194" s="13" t="inlineStr">
        <is>
          <t>Together AI</t>
        </is>
      </c>
      <c r="I194" s="13" t="inlineStr">
        <is>
          <t>Aggregator</t>
        </is>
      </c>
      <c r="J194" s="13" t="inlineStr">
        <is>
          <t>Not-keyed</t>
        </is>
      </c>
      <c r="K194" s="13" t="inlineStr">
        <is>
          <t>metered (not configured)</t>
        </is>
      </c>
      <c r="L194" s="13" t="inlineStr">
        <is>
          <t>No</t>
        </is>
      </c>
      <c r="M194" s="13" t="n">
        <v>8.199999999999999</v>
      </c>
      <c r="N194" s="13" t="n">
        <v>7.8</v>
      </c>
      <c r="O194" s="13" t="n">
        <v>7.8</v>
      </c>
      <c r="P194" s="13" t="n">
        <v>7.6</v>
      </c>
      <c r="Q194" s="13">
        <f>IFERROR(ROUND(AVERAGE(M194:P194),1),"")</f>
        <v/>
      </c>
      <c r="R194" s="13" t="n">
        <v>8.199999999999999</v>
      </c>
      <c r="S194" s="13" t="n">
        <v>7.8</v>
      </c>
      <c r="T194" s="13" t="n">
        <v>7.8</v>
      </c>
      <c r="U194" s="13" t="n">
        <v>8.199999999999999</v>
      </c>
      <c r="V194" s="13">
        <f>IFERROR(ROUND(AVERAGE(R194:U194),1),"")</f>
        <v/>
      </c>
      <c r="W194" s="13" t="n">
        <v>8.4</v>
      </c>
      <c r="X194" s="13" t="n">
        <v>8</v>
      </c>
      <c r="Y194" s="13" t="n">
        <v>7.8</v>
      </c>
      <c r="Z194" s="13" t="n">
        <v>8.199999999999999</v>
      </c>
      <c r="AA194" s="13">
        <f>IFERROR(ROUND(AVERAGE(W194:Z194),1),"")</f>
        <v/>
      </c>
      <c r="AB194" s="13" t="n">
        <v>7.8</v>
      </c>
      <c r="AC194" s="13" t="n">
        <v>7.8</v>
      </c>
      <c r="AD194" s="13" t="n">
        <v>7.6</v>
      </c>
      <c r="AE194" s="13" t="n">
        <v>7.8</v>
      </c>
      <c r="AF194" s="13">
        <f>IFERROR(ROUND(AVERAGE(AB194:AE194),1),"")</f>
        <v/>
      </c>
      <c r="AG194" s="13" t="n">
        <v>7.6</v>
      </c>
      <c r="AH194" s="13" t="n">
        <v>7</v>
      </c>
      <c r="AI194" s="13" t="n">
        <v>7.8</v>
      </c>
      <c r="AJ194" s="13" t="n">
        <v>8</v>
      </c>
      <c r="AK194" s="13">
        <f>IFERROR(ROUND(AVERAGE(AG194:AJ194),1),"")</f>
        <v/>
      </c>
      <c r="AL194" s="13" t="inlineStr"/>
      <c r="AM194" s="13" t="inlineStr"/>
      <c r="AN194" s="13" t="inlineStr"/>
      <c r="AO194" s="13">
        <f>IFERROR(ROUND(AVERAGE(AL194:AN194),1),"")</f>
        <v/>
      </c>
      <c r="AP194" s="13" t="n">
        <v>7.5</v>
      </c>
      <c r="AQ194" s="13" t="n">
        <v>7.5</v>
      </c>
      <c r="AR194" s="13" t="n">
        <v>8</v>
      </c>
      <c r="AS194" s="13" t="n">
        <v>8.6</v>
      </c>
      <c r="AT194" s="13">
        <f>IFERROR(ROUND(AVERAGE(AP194:AS194),1),"")</f>
        <v/>
      </c>
      <c r="AU194" s="13" t="n">
        <v>7.4</v>
      </c>
      <c r="AV194" s="13" t="n">
        <v>7.4</v>
      </c>
      <c r="AW194" s="13" t="n">
        <v>7.2</v>
      </c>
      <c r="AX194" s="13" t="n">
        <v>7.4</v>
      </c>
      <c r="AY194" s="13">
        <f>IFERROR(ROUND(AVERAGE(AU194:AX194),1),"")</f>
        <v/>
      </c>
      <c r="AZ194" s="13">
        <f>ROUND(0.19*N(Q194)+0.17*N(V194)+0.17*N(AA194)+0.1*N(AF194)+0.09*N(AK194)+0.12*N(AT194)+0.16*N(AY194),1)</f>
        <v/>
      </c>
      <c r="BA194" s="13" t="inlineStr">
        <is>
          <t>1M</t>
        </is>
      </c>
      <c r="BB194" s="13" t="n"/>
      <c r="BC194" s="13" t="inlineStr"/>
      <c r="BD194" s="13" t="inlineStr"/>
      <c r="BE194" s="13" t="inlineStr">
        <is>
          <t>high</t>
        </is>
      </c>
      <c r="BF194" s="13" t="n">
        <v>4</v>
      </c>
      <c r="BG194" s="13" t="n">
        <v>4</v>
      </c>
      <c r="BH194" s="13" t="inlineStr">
        <is>
          <t>Agentic/coding open MoE, long context</t>
        </is>
      </c>
      <c r="BI194" s="13" t="inlineStr"/>
      <c r="BJ194" s="15" t="inlineStr">
        <is>
          <t>M</t>
        </is>
      </c>
      <c r="BK194" s="13" t="inlineStr">
        <is>
          <t>Large MoE; via Ollama Cloud (tracked); family-inherited estimate (scaled from flagship); verify before HIGH-stakes routing</t>
        </is>
      </c>
      <c r="BL194" s="13" t="inlineStr">
        <is>
          <t>2026-06-07</t>
        </is>
      </c>
    </row>
    <row r="195">
      <c r="A195" s="13" t="inlineStr">
        <is>
          <t>minimax-m2.7</t>
        </is>
      </c>
      <c r="B195" s="13" t="inlineStr">
        <is>
          <t>MiniMax M2.7</t>
        </is>
      </c>
      <c r="C195" s="13" t="inlineStr">
        <is>
          <t>MiniMax</t>
        </is>
      </c>
      <c r="D195" s="13" t="inlineStr">
        <is>
          <t>MiniMax M2</t>
        </is>
      </c>
      <c r="E195" s="13" t="inlineStr">
        <is>
          <t>2.7</t>
        </is>
      </c>
      <c r="F195" s="13" t="inlineStr">
        <is>
          <t>Legacy (prior)</t>
        </is>
      </c>
      <c r="G195" s="13" t="inlineStr">
        <is>
          <t>Open (agentic/coding)</t>
        </is>
      </c>
      <c r="H195" s="13" t="inlineStr">
        <is>
          <t>OpenRouter</t>
        </is>
      </c>
      <c r="I195" s="13" t="inlineStr">
        <is>
          <t>Aggregator</t>
        </is>
      </c>
      <c r="J195" s="13" t="inlineStr">
        <is>
          <t>Not-keyed</t>
        </is>
      </c>
      <c r="K195" s="13" t="inlineStr">
        <is>
          <t>metered (not configured)</t>
        </is>
      </c>
      <c r="L195" s="13" t="inlineStr">
        <is>
          <t>No</t>
        </is>
      </c>
      <c r="M195" s="13" t="n">
        <v>8.199999999999999</v>
      </c>
      <c r="N195" s="13" t="n">
        <v>7.8</v>
      </c>
      <c r="O195" s="13" t="n">
        <v>7.8</v>
      </c>
      <c r="P195" s="13" t="n">
        <v>7.6</v>
      </c>
      <c r="Q195" s="13">
        <f>IFERROR(ROUND(AVERAGE(M195:P195),1),"")</f>
        <v/>
      </c>
      <c r="R195" s="13" t="n">
        <v>8.199999999999999</v>
      </c>
      <c r="S195" s="13" t="n">
        <v>7.8</v>
      </c>
      <c r="T195" s="13" t="n">
        <v>7.8</v>
      </c>
      <c r="U195" s="13" t="n">
        <v>8.199999999999999</v>
      </c>
      <c r="V195" s="13">
        <f>IFERROR(ROUND(AVERAGE(R195:U195),1),"")</f>
        <v/>
      </c>
      <c r="W195" s="13" t="n">
        <v>8.4</v>
      </c>
      <c r="X195" s="13" t="n">
        <v>8</v>
      </c>
      <c r="Y195" s="13" t="n">
        <v>7.8</v>
      </c>
      <c r="Z195" s="13" t="n">
        <v>8.199999999999999</v>
      </c>
      <c r="AA195" s="13">
        <f>IFERROR(ROUND(AVERAGE(W195:Z195),1),"")</f>
        <v/>
      </c>
      <c r="AB195" s="13" t="n">
        <v>7.8</v>
      </c>
      <c r="AC195" s="13" t="n">
        <v>7.8</v>
      </c>
      <c r="AD195" s="13" t="n">
        <v>7.6</v>
      </c>
      <c r="AE195" s="13" t="n">
        <v>7.8</v>
      </c>
      <c r="AF195" s="13">
        <f>IFERROR(ROUND(AVERAGE(AB195:AE195),1),"")</f>
        <v/>
      </c>
      <c r="AG195" s="13" t="n">
        <v>7.6</v>
      </c>
      <c r="AH195" s="13" t="n">
        <v>7</v>
      </c>
      <c r="AI195" s="13" t="n">
        <v>7.8</v>
      </c>
      <c r="AJ195" s="13" t="n">
        <v>8</v>
      </c>
      <c r="AK195" s="13">
        <f>IFERROR(ROUND(AVERAGE(AG195:AJ195),1),"")</f>
        <v/>
      </c>
      <c r="AL195" s="13" t="inlineStr"/>
      <c r="AM195" s="13" t="inlineStr"/>
      <c r="AN195" s="13" t="inlineStr"/>
      <c r="AO195" s="13">
        <f>IFERROR(ROUND(AVERAGE(AL195:AN195),1),"")</f>
        <v/>
      </c>
      <c r="AP195" s="13" t="n">
        <v>7.5</v>
      </c>
      <c r="AQ195" s="13" t="n">
        <v>7.5</v>
      </c>
      <c r="AR195" s="13" t="n">
        <v>8</v>
      </c>
      <c r="AS195" s="13" t="n">
        <v>8.6</v>
      </c>
      <c r="AT195" s="13">
        <f>IFERROR(ROUND(AVERAGE(AP195:AS195),1),"")</f>
        <v/>
      </c>
      <c r="AU195" s="13" t="n">
        <v>7.4</v>
      </c>
      <c r="AV195" s="13" t="n">
        <v>7.4</v>
      </c>
      <c r="AW195" s="13" t="n">
        <v>7.2</v>
      </c>
      <c r="AX195" s="13" t="n">
        <v>7.4</v>
      </c>
      <c r="AY195" s="13">
        <f>IFERROR(ROUND(AVERAGE(AU195:AX195),1),"")</f>
        <v/>
      </c>
      <c r="AZ195" s="13">
        <f>ROUND(0.19*N(Q195)+0.17*N(V195)+0.17*N(AA195)+0.1*N(AF195)+0.09*N(AK195)+0.12*N(AT195)+0.16*N(AY195),1)</f>
        <v/>
      </c>
      <c r="BA195" s="13" t="inlineStr">
        <is>
          <t>1M</t>
        </is>
      </c>
      <c r="BB195" s="13" t="n"/>
      <c r="BC195" s="13" t="inlineStr"/>
      <c r="BD195" s="13" t="inlineStr"/>
      <c r="BE195" s="13" t="inlineStr">
        <is>
          <t>high</t>
        </is>
      </c>
      <c r="BF195" s="13" t="n">
        <v>4</v>
      </c>
      <c r="BG195" s="13" t="n">
        <v>4</v>
      </c>
      <c r="BH195" s="13" t="inlineStr">
        <is>
          <t>Agentic/coding open MoE, long context</t>
        </is>
      </c>
      <c r="BI195" s="13" t="inlineStr"/>
      <c r="BJ195" s="15" t="inlineStr">
        <is>
          <t>M</t>
        </is>
      </c>
      <c r="BK195" s="13" t="inlineStr">
        <is>
          <t>Large MoE; via Ollama Cloud (tracked); family-inherited estimate (scaled from flagship); verify before HIGH-stakes routing</t>
        </is>
      </c>
      <c r="BL195" s="13" t="inlineStr">
        <is>
          <t>2026-06-07</t>
        </is>
      </c>
    </row>
    <row r="196">
      <c r="A196" s="13" t="inlineStr">
        <is>
          <t>minimax-m2.5</t>
        </is>
      </c>
      <c r="B196" s="13" t="inlineStr">
        <is>
          <t>MiniMax M2.5</t>
        </is>
      </c>
      <c r="C196" s="13" t="inlineStr">
        <is>
          <t>MiniMax</t>
        </is>
      </c>
      <c r="D196" s="13" t="inlineStr">
        <is>
          <t>MiniMax M2</t>
        </is>
      </c>
      <c r="E196" s="13" t="inlineStr">
        <is>
          <t>2.5</t>
        </is>
      </c>
      <c r="F196" s="13" t="inlineStr">
        <is>
          <t>Legacy</t>
        </is>
      </c>
      <c r="G196" s="13" t="inlineStr">
        <is>
          <t>Open (agentic)</t>
        </is>
      </c>
      <c r="H196" s="13" t="inlineStr">
        <is>
          <t>Together AI</t>
        </is>
      </c>
      <c r="I196" s="13" t="inlineStr">
        <is>
          <t>Aggregator</t>
        </is>
      </c>
      <c r="J196" s="13" t="inlineStr">
        <is>
          <t>Not-keyed</t>
        </is>
      </c>
      <c r="K196" s="13" t="inlineStr">
        <is>
          <t>metered (not configured)</t>
        </is>
      </c>
      <c r="L196" s="13" t="inlineStr">
        <is>
          <t>No</t>
        </is>
      </c>
      <c r="M196" s="13" t="n">
        <v>8</v>
      </c>
      <c r="N196" s="13" t="n">
        <v>7.6</v>
      </c>
      <c r="O196" s="13" t="n">
        <v>7.6</v>
      </c>
      <c r="P196" s="13" t="n">
        <v>7.4</v>
      </c>
      <c r="Q196" s="13">
        <f>IFERROR(ROUND(AVERAGE(M196:P196),1),"")</f>
        <v/>
      </c>
      <c r="R196" s="13" t="n">
        <v>8</v>
      </c>
      <c r="S196" s="13" t="n">
        <v>7.6</v>
      </c>
      <c r="T196" s="13" t="n">
        <v>7.6</v>
      </c>
      <c r="U196" s="13" t="n">
        <v>8</v>
      </c>
      <c r="V196" s="13">
        <f>IFERROR(ROUND(AVERAGE(R196:U196),1),"")</f>
        <v/>
      </c>
      <c r="W196" s="13" t="n">
        <v>8.199999999999999</v>
      </c>
      <c r="X196" s="13" t="n">
        <v>7.8</v>
      </c>
      <c r="Y196" s="13" t="n">
        <v>7.6</v>
      </c>
      <c r="Z196" s="13" t="n">
        <v>8</v>
      </c>
      <c r="AA196" s="13">
        <f>IFERROR(ROUND(AVERAGE(W196:Z196),1),"")</f>
        <v/>
      </c>
      <c r="AB196" s="13" t="n">
        <v>7.6</v>
      </c>
      <c r="AC196" s="13" t="n">
        <v>7.6</v>
      </c>
      <c r="AD196" s="13" t="n">
        <v>7.4</v>
      </c>
      <c r="AE196" s="13" t="n">
        <v>7.6</v>
      </c>
      <c r="AF196" s="13">
        <f>IFERROR(ROUND(AVERAGE(AB196:AE196),1),"")</f>
        <v/>
      </c>
      <c r="AG196" s="13" t="n">
        <v>7.4</v>
      </c>
      <c r="AH196" s="13" t="n">
        <v>6.8</v>
      </c>
      <c r="AI196" s="13" t="n">
        <v>7.6</v>
      </c>
      <c r="AJ196" s="13" t="n">
        <v>7.8</v>
      </c>
      <c r="AK196" s="13">
        <f>IFERROR(ROUND(AVERAGE(AG196:AJ196),1),"")</f>
        <v/>
      </c>
      <c r="AL196" s="13" t="inlineStr"/>
      <c r="AM196" s="13" t="inlineStr"/>
      <c r="AN196" s="13" t="inlineStr"/>
      <c r="AO196" s="13">
        <f>IFERROR(ROUND(AVERAGE(AL196:AN196),1),"")</f>
        <v/>
      </c>
      <c r="AP196" s="13" t="n">
        <v>7.5</v>
      </c>
      <c r="AQ196" s="13" t="n">
        <v>7.5</v>
      </c>
      <c r="AR196" s="13" t="n">
        <v>8</v>
      </c>
      <c r="AS196" s="13" t="n">
        <v>8.6</v>
      </c>
      <c r="AT196" s="13">
        <f>IFERROR(ROUND(AVERAGE(AP196:AS196),1),"")</f>
        <v/>
      </c>
      <c r="AU196" s="13" t="n">
        <v>7.2</v>
      </c>
      <c r="AV196" s="13" t="n">
        <v>7.2</v>
      </c>
      <c r="AW196" s="13" t="n">
        <v>7</v>
      </c>
      <c r="AX196" s="13" t="n">
        <v>7.2</v>
      </c>
      <c r="AY196" s="13">
        <f>IFERROR(ROUND(AVERAGE(AU196:AX196),1),"")</f>
        <v/>
      </c>
      <c r="AZ196" s="13">
        <f>ROUND(0.19*N(Q196)+0.17*N(V196)+0.17*N(AA196)+0.1*N(AF196)+0.09*N(AK196)+0.12*N(AT196)+0.16*N(AY196),1)</f>
        <v/>
      </c>
      <c r="BA196" s="13" t="inlineStr">
        <is>
          <t>1M</t>
        </is>
      </c>
      <c r="BB196" s="13" t="n"/>
      <c r="BC196" s="13" t="inlineStr"/>
      <c r="BD196" s="13" t="inlineStr"/>
      <c r="BE196" s="13" t="inlineStr">
        <is>
          <t>high</t>
        </is>
      </c>
      <c r="BF196" s="13" t="n">
        <v>4</v>
      </c>
      <c r="BG196" s="13" t="n">
        <v>3</v>
      </c>
      <c r="BH196" s="13" t="inlineStr">
        <is>
          <t>Prior MiniMax MoE</t>
        </is>
      </c>
      <c r="BI196" s="13" t="inlineStr"/>
      <c r="BJ196" s="15" t="inlineStr">
        <is>
          <t>M</t>
        </is>
      </c>
      <c r="BK196" s="13" t="inlineStr">
        <is>
          <t>M2.5; family-inherited estimate (scaled from flagship); verify before HIGH-stakes routing</t>
        </is>
      </c>
      <c r="BL196" s="13" t="inlineStr">
        <is>
          <t>2026-06-07</t>
        </is>
      </c>
    </row>
    <row r="197">
      <c r="A197" s="13" t="inlineStr">
        <is>
          <t>minimax-m2.5</t>
        </is>
      </c>
      <c r="B197" s="13" t="inlineStr">
        <is>
          <t>MiniMax M2.5</t>
        </is>
      </c>
      <c r="C197" s="13" t="inlineStr">
        <is>
          <t>MiniMax</t>
        </is>
      </c>
      <c r="D197" s="13" t="inlineStr">
        <is>
          <t>MiniMax M2</t>
        </is>
      </c>
      <c r="E197" s="13" t="inlineStr">
        <is>
          <t>2.5</t>
        </is>
      </c>
      <c r="F197" s="13" t="inlineStr">
        <is>
          <t>Legacy</t>
        </is>
      </c>
      <c r="G197" s="13" t="inlineStr">
        <is>
          <t>Open (agentic)</t>
        </is>
      </c>
      <c r="H197" s="13" t="inlineStr">
        <is>
          <t>OpenRouter</t>
        </is>
      </c>
      <c r="I197" s="13" t="inlineStr">
        <is>
          <t>Aggregator</t>
        </is>
      </c>
      <c r="J197" s="13" t="inlineStr">
        <is>
          <t>Not-keyed</t>
        </is>
      </c>
      <c r="K197" s="13" t="inlineStr">
        <is>
          <t>metered (not configured)</t>
        </is>
      </c>
      <c r="L197" s="13" t="inlineStr">
        <is>
          <t>No</t>
        </is>
      </c>
      <c r="M197" s="13" t="n">
        <v>8</v>
      </c>
      <c r="N197" s="13" t="n">
        <v>7.6</v>
      </c>
      <c r="O197" s="13" t="n">
        <v>7.6</v>
      </c>
      <c r="P197" s="13" t="n">
        <v>7.4</v>
      </c>
      <c r="Q197" s="13">
        <f>IFERROR(ROUND(AVERAGE(M197:P197),1),"")</f>
        <v/>
      </c>
      <c r="R197" s="13" t="n">
        <v>8</v>
      </c>
      <c r="S197" s="13" t="n">
        <v>7.6</v>
      </c>
      <c r="T197" s="13" t="n">
        <v>7.6</v>
      </c>
      <c r="U197" s="13" t="n">
        <v>8</v>
      </c>
      <c r="V197" s="13">
        <f>IFERROR(ROUND(AVERAGE(R197:U197),1),"")</f>
        <v/>
      </c>
      <c r="W197" s="13" t="n">
        <v>8.199999999999999</v>
      </c>
      <c r="X197" s="13" t="n">
        <v>7.8</v>
      </c>
      <c r="Y197" s="13" t="n">
        <v>7.6</v>
      </c>
      <c r="Z197" s="13" t="n">
        <v>8</v>
      </c>
      <c r="AA197" s="13">
        <f>IFERROR(ROUND(AVERAGE(W197:Z197),1),"")</f>
        <v/>
      </c>
      <c r="AB197" s="13" t="n">
        <v>7.6</v>
      </c>
      <c r="AC197" s="13" t="n">
        <v>7.6</v>
      </c>
      <c r="AD197" s="13" t="n">
        <v>7.4</v>
      </c>
      <c r="AE197" s="13" t="n">
        <v>7.6</v>
      </c>
      <c r="AF197" s="13">
        <f>IFERROR(ROUND(AVERAGE(AB197:AE197),1),"")</f>
        <v/>
      </c>
      <c r="AG197" s="13" t="n">
        <v>7.4</v>
      </c>
      <c r="AH197" s="13" t="n">
        <v>6.8</v>
      </c>
      <c r="AI197" s="13" t="n">
        <v>7.6</v>
      </c>
      <c r="AJ197" s="13" t="n">
        <v>7.8</v>
      </c>
      <c r="AK197" s="13">
        <f>IFERROR(ROUND(AVERAGE(AG197:AJ197),1),"")</f>
        <v/>
      </c>
      <c r="AL197" s="13" t="inlineStr"/>
      <c r="AM197" s="13" t="inlineStr"/>
      <c r="AN197" s="13" t="inlineStr"/>
      <c r="AO197" s="13">
        <f>IFERROR(ROUND(AVERAGE(AL197:AN197),1),"")</f>
        <v/>
      </c>
      <c r="AP197" s="13" t="n">
        <v>7.5</v>
      </c>
      <c r="AQ197" s="13" t="n">
        <v>7.5</v>
      </c>
      <c r="AR197" s="13" t="n">
        <v>8</v>
      </c>
      <c r="AS197" s="13" t="n">
        <v>8.6</v>
      </c>
      <c r="AT197" s="13">
        <f>IFERROR(ROUND(AVERAGE(AP197:AS197),1),"")</f>
        <v/>
      </c>
      <c r="AU197" s="13" t="n">
        <v>7.2</v>
      </c>
      <c r="AV197" s="13" t="n">
        <v>7.2</v>
      </c>
      <c r="AW197" s="13" t="n">
        <v>7</v>
      </c>
      <c r="AX197" s="13" t="n">
        <v>7.2</v>
      </c>
      <c r="AY197" s="13">
        <f>IFERROR(ROUND(AVERAGE(AU197:AX197),1),"")</f>
        <v/>
      </c>
      <c r="AZ197" s="13">
        <f>ROUND(0.19*N(Q197)+0.17*N(V197)+0.17*N(AA197)+0.1*N(AF197)+0.09*N(AK197)+0.12*N(AT197)+0.16*N(AY197),1)</f>
        <v/>
      </c>
      <c r="BA197" s="13" t="inlineStr">
        <is>
          <t>1M</t>
        </is>
      </c>
      <c r="BB197" s="13" t="n"/>
      <c r="BC197" s="13" t="inlineStr"/>
      <c r="BD197" s="13" t="inlineStr"/>
      <c r="BE197" s="13" t="inlineStr">
        <is>
          <t>high</t>
        </is>
      </c>
      <c r="BF197" s="13" t="n">
        <v>4</v>
      </c>
      <c r="BG197" s="13" t="n">
        <v>3</v>
      </c>
      <c r="BH197" s="13" t="inlineStr">
        <is>
          <t>Prior MiniMax MoE</t>
        </is>
      </c>
      <c r="BI197" s="13" t="inlineStr"/>
      <c r="BJ197" s="15" t="inlineStr">
        <is>
          <t>M</t>
        </is>
      </c>
      <c r="BK197" s="13" t="inlineStr">
        <is>
          <t>M2.5; family-inherited estimate (scaled from flagship); verify before HIGH-stakes routing</t>
        </is>
      </c>
      <c r="BL197" s="13" t="inlineStr">
        <is>
          <t>2026-06-07</t>
        </is>
      </c>
    </row>
    <row r="198">
      <c r="A198" s="13" t="inlineStr">
        <is>
          <t>kimi-k2.6</t>
        </is>
      </c>
      <c r="B198" s="13" t="inlineStr">
        <is>
          <t>Kimi K2.6</t>
        </is>
      </c>
      <c r="C198" s="13" t="inlineStr">
        <is>
          <t>Moonshot</t>
        </is>
      </c>
      <c r="D198" s="13" t="inlineStr">
        <is>
          <t>Kimi K2</t>
        </is>
      </c>
      <c r="E198" s="13" t="inlineStr">
        <is>
          <t>2.6</t>
        </is>
      </c>
      <c r="F198" s="13" t="inlineStr">
        <is>
          <t>Current</t>
        </is>
      </c>
      <c r="G198" s="13" t="inlineStr">
        <is>
          <t>Open Flagship (cheap)</t>
        </is>
      </c>
      <c r="H198" s="13" t="inlineStr">
        <is>
          <t>Together AI</t>
        </is>
      </c>
      <c r="I198" s="13" t="inlineStr">
        <is>
          <t>Aggregator</t>
        </is>
      </c>
      <c r="J198" s="13" t="inlineStr">
        <is>
          <t>Not-keyed</t>
        </is>
      </c>
      <c r="K198" s="13" t="inlineStr">
        <is>
          <t>metered (not configured)</t>
        </is>
      </c>
      <c r="L198" s="13" t="inlineStr">
        <is>
          <t>No</t>
        </is>
      </c>
      <c r="M198" s="13" t="n">
        <v>8.6</v>
      </c>
      <c r="N198" s="13" t="n">
        <v>8.4</v>
      </c>
      <c r="O198" s="13" t="n">
        <v>8.199999999999999</v>
      </c>
      <c r="P198" s="13" t="n">
        <v>8.199999999999999</v>
      </c>
      <c r="Q198" s="13">
        <f>IFERROR(ROUND(AVERAGE(M198:P198),1),"")</f>
        <v/>
      </c>
      <c r="R198" s="13" t="n">
        <v>8.800000000000001</v>
      </c>
      <c r="S198" s="13" t="n">
        <v>8.6</v>
      </c>
      <c r="T198" s="13" t="n">
        <v>8.4</v>
      </c>
      <c r="U198" s="13" t="n">
        <v>8.6</v>
      </c>
      <c r="V198" s="13">
        <f>IFERROR(ROUND(AVERAGE(R198:U198),1),"")</f>
        <v/>
      </c>
      <c r="W198" s="13" t="n">
        <v>8.6</v>
      </c>
      <c r="X198" s="13" t="n">
        <v>8.6</v>
      </c>
      <c r="Y198" s="13" t="n">
        <v>8.199999999999999</v>
      </c>
      <c r="Z198" s="13" t="n">
        <v>8.4</v>
      </c>
      <c r="AA198" s="13">
        <f>IFERROR(ROUND(AVERAGE(W198:Z198),1),"")</f>
        <v/>
      </c>
      <c r="AB198" s="13" t="n">
        <v>8.199999999999999</v>
      </c>
      <c r="AC198" s="13" t="n">
        <v>8.199999999999999</v>
      </c>
      <c r="AD198" s="13" t="n">
        <v>8</v>
      </c>
      <c r="AE198" s="13" t="n">
        <v>8.199999999999999</v>
      </c>
      <c r="AF198" s="13">
        <f>IFERROR(ROUND(AVERAGE(AB198:AE198),1),"")</f>
        <v/>
      </c>
      <c r="AG198" s="13" t="n">
        <v>8</v>
      </c>
      <c r="AH198" s="13" t="n">
        <v>7.2</v>
      </c>
      <c r="AI198" s="13" t="n">
        <v>8.199999999999999</v>
      </c>
      <c r="AJ198" s="13" t="n">
        <v>8.4</v>
      </c>
      <c r="AK198" s="13">
        <f>IFERROR(ROUND(AVERAGE(AG198:AJ198),1),"")</f>
        <v/>
      </c>
      <c r="AL198" s="13" t="n">
        <v>8</v>
      </c>
      <c r="AM198" s="13" t="n">
        <v>8</v>
      </c>
      <c r="AN198" s="13" t="inlineStr"/>
      <c r="AO198" s="13">
        <f>IFERROR(ROUND(AVERAGE(AL198:AN198),1),"")</f>
        <v/>
      </c>
      <c r="AP198" s="13" t="n">
        <v>7.5</v>
      </c>
      <c r="AQ198" s="13" t="n">
        <v>7.5</v>
      </c>
      <c r="AR198" s="13" t="n">
        <v>8</v>
      </c>
      <c r="AS198" s="13" t="n">
        <v>9</v>
      </c>
      <c r="AT198" s="13">
        <f>IFERROR(ROUND(AVERAGE(AP198:AS198),1),"")</f>
        <v/>
      </c>
      <c r="AU198" s="13" t="n">
        <v>7.8</v>
      </c>
      <c r="AV198" s="13" t="n">
        <v>7.8</v>
      </c>
      <c r="AW198" s="13" t="n">
        <v>7.6</v>
      </c>
      <c r="AX198" s="13" t="n">
        <v>7.8</v>
      </c>
      <c r="AY198" s="13">
        <f>IFERROR(ROUND(AVERAGE(AU198:AX198),1),"")</f>
        <v/>
      </c>
      <c r="AZ198" s="13">
        <f>ROUND(0.19*N(Q198)+0.17*N(V198)+0.17*N(AA198)+0.1*N(AF198)+0.09*N(AK198)+0.12*N(AT198)+0.16*N(AY198),1)</f>
        <v/>
      </c>
      <c r="BA198" s="13" t="inlineStr">
        <is>
          <t>256K</t>
        </is>
      </c>
      <c r="BB198" s="13" t="n"/>
      <c r="BC198" s="13" t="n">
        <v>0.6</v>
      </c>
      <c r="BD198" s="13" t="inlineStr"/>
      <c r="BE198" s="13" t="inlineStr">
        <is>
          <t>high</t>
        </is>
      </c>
      <c r="BF198" s="13" t="n">
        <v>5</v>
      </c>
      <c r="BG198" s="13" t="n">
        <v>4</v>
      </c>
      <c r="BH198" s="13" t="inlineStr">
        <is>
          <t>Beat GPT-5.4 on SWE-bench Pro at $0.60/M; top open MMMU-Pro</t>
        </is>
      </c>
      <c r="BI198" s="13" t="inlineStr"/>
      <c r="BJ198" s="14" t="inlineStr">
        <is>
          <t>H</t>
        </is>
      </c>
      <c r="BK198" s="13" t="inlineStr">
        <is>
          <t>SWE-bench Pro leader vs V4; MMMU-Pro 0.801 (open #1); benchmark-anchored (AA Index, SWE-bench, GPQA, ARC-AGI-2, Aider, MMMU 2026-06)</t>
        </is>
      </c>
      <c r="BL198" s="13" t="inlineStr">
        <is>
          <t>2026-06-07</t>
        </is>
      </c>
    </row>
    <row r="199">
      <c r="A199" s="13" t="inlineStr">
        <is>
          <t>kimi-k2.6</t>
        </is>
      </c>
      <c r="B199" s="13" t="inlineStr">
        <is>
          <t>Kimi K2.6</t>
        </is>
      </c>
      <c r="C199" s="13" t="inlineStr">
        <is>
          <t>Moonshot</t>
        </is>
      </c>
      <c r="D199" s="13" t="inlineStr">
        <is>
          <t>Kimi K2</t>
        </is>
      </c>
      <c r="E199" s="13" t="inlineStr">
        <is>
          <t>2.6</t>
        </is>
      </c>
      <c r="F199" s="13" t="inlineStr">
        <is>
          <t>Current</t>
        </is>
      </c>
      <c r="G199" s="13" t="inlineStr">
        <is>
          <t>Open Flagship (cheap)</t>
        </is>
      </c>
      <c r="H199" s="13" t="inlineStr">
        <is>
          <t>Fireworks AI</t>
        </is>
      </c>
      <c r="I199" s="13" t="inlineStr">
        <is>
          <t>Aggregator</t>
        </is>
      </c>
      <c r="J199" s="13" t="inlineStr">
        <is>
          <t>Not-keyed</t>
        </is>
      </c>
      <c r="K199" s="13" t="inlineStr">
        <is>
          <t>metered (not configured)</t>
        </is>
      </c>
      <c r="L199" s="13" t="inlineStr">
        <is>
          <t>No</t>
        </is>
      </c>
      <c r="M199" s="13" t="n">
        <v>8.6</v>
      </c>
      <c r="N199" s="13" t="n">
        <v>8.4</v>
      </c>
      <c r="O199" s="13" t="n">
        <v>8.199999999999999</v>
      </c>
      <c r="P199" s="13" t="n">
        <v>8.199999999999999</v>
      </c>
      <c r="Q199" s="13">
        <f>IFERROR(ROUND(AVERAGE(M199:P199),1),"")</f>
        <v/>
      </c>
      <c r="R199" s="13" t="n">
        <v>8.800000000000001</v>
      </c>
      <c r="S199" s="13" t="n">
        <v>8.6</v>
      </c>
      <c r="T199" s="13" t="n">
        <v>8.4</v>
      </c>
      <c r="U199" s="13" t="n">
        <v>8.6</v>
      </c>
      <c r="V199" s="13">
        <f>IFERROR(ROUND(AVERAGE(R199:U199),1),"")</f>
        <v/>
      </c>
      <c r="W199" s="13" t="n">
        <v>8.6</v>
      </c>
      <c r="X199" s="13" t="n">
        <v>8.6</v>
      </c>
      <c r="Y199" s="13" t="n">
        <v>8.199999999999999</v>
      </c>
      <c r="Z199" s="13" t="n">
        <v>8.4</v>
      </c>
      <c r="AA199" s="13">
        <f>IFERROR(ROUND(AVERAGE(W199:Z199),1),"")</f>
        <v/>
      </c>
      <c r="AB199" s="13" t="n">
        <v>8.199999999999999</v>
      </c>
      <c r="AC199" s="13" t="n">
        <v>8.199999999999999</v>
      </c>
      <c r="AD199" s="13" t="n">
        <v>8</v>
      </c>
      <c r="AE199" s="13" t="n">
        <v>8.199999999999999</v>
      </c>
      <c r="AF199" s="13">
        <f>IFERROR(ROUND(AVERAGE(AB199:AE199),1),"")</f>
        <v/>
      </c>
      <c r="AG199" s="13" t="n">
        <v>8</v>
      </c>
      <c r="AH199" s="13" t="n">
        <v>7.2</v>
      </c>
      <c r="AI199" s="13" t="n">
        <v>8.199999999999999</v>
      </c>
      <c r="AJ199" s="13" t="n">
        <v>8.4</v>
      </c>
      <c r="AK199" s="13">
        <f>IFERROR(ROUND(AVERAGE(AG199:AJ199),1),"")</f>
        <v/>
      </c>
      <c r="AL199" s="13" t="n">
        <v>8</v>
      </c>
      <c r="AM199" s="13" t="n">
        <v>8</v>
      </c>
      <c r="AN199" s="13" t="inlineStr"/>
      <c r="AO199" s="13">
        <f>IFERROR(ROUND(AVERAGE(AL199:AN199),1),"")</f>
        <v/>
      </c>
      <c r="AP199" s="13" t="n">
        <v>7.5</v>
      </c>
      <c r="AQ199" s="13" t="n">
        <v>7.5</v>
      </c>
      <c r="AR199" s="13" t="n">
        <v>8</v>
      </c>
      <c r="AS199" s="13" t="n">
        <v>9</v>
      </c>
      <c r="AT199" s="13">
        <f>IFERROR(ROUND(AVERAGE(AP199:AS199),1),"")</f>
        <v/>
      </c>
      <c r="AU199" s="13" t="n">
        <v>7.8</v>
      </c>
      <c r="AV199" s="13" t="n">
        <v>7.8</v>
      </c>
      <c r="AW199" s="13" t="n">
        <v>7.6</v>
      </c>
      <c r="AX199" s="13" t="n">
        <v>7.8</v>
      </c>
      <c r="AY199" s="13">
        <f>IFERROR(ROUND(AVERAGE(AU199:AX199),1),"")</f>
        <v/>
      </c>
      <c r="AZ199" s="13">
        <f>ROUND(0.19*N(Q199)+0.17*N(V199)+0.17*N(AA199)+0.1*N(AF199)+0.09*N(AK199)+0.12*N(AT199)+0.16*N(AY199),1)</f>
        <v/>
      </c>
      <c r="BA199" s="13" t="inlineStr">
        <is>
          <t>256K</t>
        </is>
      </c>
      <c r="BB199" s="13" t="n"/>
      <c r="BC199" s="13" t="n">
        <v>0.6</v>
      </c>
      <c r="BD199" s="13" t="inlineStr"/>
      <c r="BE199" s="13" t="inlineStr">
        <is>
          <t>high</t>
        </is>
      </c>
      <c r="BF199" s="13" t="n">
        <v>5</v>
      </c>
      <c r="BG199" s="13" t="n">
        <v>4</v>
      </c>
      <c r="BH199" s="13" t="inlineStr">
        <is>
          <t>Beat GPT-5.4 on SWE-bench Pro at $0.60/M; top open MMMU-Pro</t>
        </is>
      </c>
      <c r="BI199" s="13" t="inlineStr"/>
      <c r="BJ199" s="14" t="inlineStr">
        <is>
          <t>H</t>
        </is>
      </c>
      <c r="BK199" s="13" t="inlineStr">
        <is>
          <t>SWE-bench Pro leader vs V4; MMMU-Pro 0.801 (open #1); benchmark-anchored (AA Index, SWE-bench, GPQA, ARC-AGI-2, Aider, MMMU 2026-06)</t>
        </is>
      </c>
      <c r="BL199" s="13" t="inlineStr">
        <is>
          <t>2026-06-07</t>
        </is>
      </c>
    </row>
    <row r="200">
      <c r="A200" s="13" t="inlineStr">
        <is>
          <t>kimi-k2.6</t>
        </is>
      </c>
      <c r="B200" s="13" t="inlineStr">
        <is>
          <t>Kimi K2.6</t>
        </is>
      </c>
      <c r="C200" s="13" t="inlineStr">
        <is>
          <t>Moonshot</t>
        </is>
      </c>
      <c r="D200" s="13" t="inlineStr">
        <is>
          <t>Kimi K2</t>
        </is>
      </c>
      <c r="E200" s="13" t="inlineStr">
        <is>
          <t>2.6</t>
        </is>
      </c>
      <c r="F200" s="13" t="inlineStr">
        <is>
          <t>Current</t>
        </is>
      </c>
      <c r="G200" s="13" t="inlineStr">
        <is>
          <t>Open Flagship (cheap)</t>
        </is>
      </c>
      <c r="H200" s="13" t="inlineStr">
        <is>
          <t>Groq</t>
        </is>
      </c>
      <c r="I200" s="13" t="inlineStr">
        <is>
          <t>Aggregator</t>
        </is>
      </c>
      <c r="J200" s="13" t="inlineStr">
        <is>
          <t>Not-keyed</t>
        </is>
      </c>
      <c r="K200" s="13" t="inlineStr">
        <is>
          <t>metered (not configured)</t>
        </is>
      </c>
      <c r="L200" s="13" t="inlineStr">
        <is>
          <t>No</t>
        </is>
      </c>
      <c r="M200" s="13" t="n">
        <v>8.6</v>
      </c>
      <c r="N200" s="13" t="n">
        <v>8.4</v>
      </c>
      <c r="O200" s="13" t="n">
        <v>8.199999999999999</v>
      </c>
      <c r="P200" s="13" t="n">
        <v>8.199999999999999</v>
      </c>
      <c r="Q200" s="13">
        <f>IFERROR(ROUND(AVERAGE(M200:P200),1),"")</f>
        <v/>
      </c>
      <c r="R200" s="13" t="n">
        <v>8.800000000000001</v>
      </c>
      <c r="S200" s="13" t="n">
        <v>8.6</v>
      </c>
      <c r="T200" s="13" t="n">
        <v>8.4</v>
      </c>
      <c r="U200" s="13" t="n">
        <v>8.6</v>
      </c>
      <c r="V200" s="13">
        <f>IFERROR(ROUND(AVERAGE(R200:U200),1),"")</f>
        <v/>
      </c>
      <c r="W200" s="13" t="n">
        <v>8.6</v>
      </c>
      <c r="X200" s="13" t="n">
        <v>8.6</v>
      </c>
      <c r="Y200" s="13" t="n">
        <v>8.199999999999999</v>
      </c>
      <c r="Z200" s="13" t="n">
        <v>8.4</v>
      </c>
      <c r="AA200" s="13">
        <f>IFERROR(ROUND(AVERAGE(W200:Z200),1),"")</f>
        <v/>
      </c>
      <c r="AB200" s="13" t="n">
        <v>8.199999999999999</v>
      </c>
      <c r="AC200" s="13" t="n">
        <v>8.199999999999999</v>
      </c>
      <c r="AD200" s="13" t="n">
        <v>8</v>
      </c>
      <c r="AE200" s="13" t="n">
        <v>8.199999999999999</v>
      </c>
      <c r="AF200" s="13">
        <f>IFERROR(ROUND(AVERAGE(AB200:AE200),1),"")</f>
        <v/>
      </c>
      <c r="AG200" s="13" t="n">
        <v>8</v>
      </c>
      <c r="AH200" s="13" t="n">
        <v>7.2</v>
      </c>
      <c r="AI200" s="13" t="n">
        <v>8.199999999999999</v>
      </c>
      <c r="AJ200" s="13" t="n">
        <v>8.4</v>
      </c>
      <c r="AK200" s="13">
        <f>IFERROR(ROUND(AVERAGE(AG200:AJ200),1),"")</f>
        <v/>
      </c>
      <c r="AL200" s="13" t="n">
        <v>8</v>
      </c>
      <c r="AM200" s="13" t="n">
        <v>8</v>
      </c>
      <c r="AN200" s="13" t="inlineStr"/>
      <c r="AO200" s="13">
        <f>IFERROR(ROUND(AVERAGE(AL200:AN200),1),"")</f>
        <v/>
      </c>
      <c r="AP200" s="13" t="n">
        <v>7.5</v>
      </c>
      <c r="AQ200" s="13" t="n">
        <v>7.5</v>
      </c>
      <c r="AR200" s="13" t="n">
        <v>8</v>
      </c>
      <c r="AS200" s="13" t="n">
        <v>9</v>
      </c>
      <c r="AT200" s="13">
        <f>IFERROR(ROUND(AVERAGE(AP200:AS200),1),"")</f>
        <v/>
      </c>
      <c r="AU200" s="13" t="n">
        <v>7.8</v>
      </c>
      <c r="AV200" s="13" t="n">
        <v>7.8</v>
      </c>
      <c r="AW200" s="13" t="n">
        <v>7.6</v>
      </c>
      <c r="AX200" s="13" t="n">
        <v>7.8</v>
      </c>
      <c r="AY200" s="13">
        <f>IFERROR(ROUND(AVERAGE(AU200:AX200),1),"")</f>
        <v/>
      </c>
      <c r="AZ200" s="13">
        <f>ROUND(0.19*N(Q200)+0.17*N(V200)+0.17*N(AA200)+0.1*N(AF200)+0.09*N(AK200)+0.12*N(AT200)+0.16*N(AY200),1)</f>
        <v/>
      </c>
      <c r="BA200" s="13" t="inlineStr">
        <is>
          <t>256K</t>
        </is>
      </c>
      <c r="BB200" s="13" t="n"/>
      <c r="BC200" s="13" t="n">
        <v>0.6</v>
      </c>
      <c r="BD200" s="13" t="inlineStr"/>
      <c r="BE200" s="13" t="inlineStr">
        <is>
          <t>high</t>
        </is>
      </c>
      <c r="BF200" s="13" t="n">
        <v>5</v>
      </c>
      <c r="BG200" s="13" t="n">
        <v>4</v>
      </c>
      <c r="BH200" s="13" t="inlineStr">
        <is>
          <t>Beat GPT-5.4 on SWE-bench Pro at $0.60/M; top open MMMU-Pro</t>
        </is>
      </c>
      <c r="BI200" s="13" t="inlineStr"/>
      <c r="BJ200" s="14" t="inlineStr">
        <is>
          <t>H</t>
        </is>
      </c>
      <c r="BK200" s="13" t="inlineStr">
        <is>
          <t>SWE-bench Pro leader vs V4; MMMU-Pro 0.801 (open #1); benchmark-anchored (AA Index, SWE-bench, GPQA, ARC-AGI-2, Aider, MMMU 2026-06)</t>
        </is>
      </c>
      <c r="BL200" s="13" t="inlineStr">
        <is>
          <t>2026-06-07</t>
        </is>
      </c>
    </row>
    <row r="201">
      <c r="A201" s="13" t="inlineStr">
        <is>
          <t>kimi-k2.6</t>
        </is>
      </c>
      <c r="B201" s="13" t="inlineStr">
        <is>
          <t>Kimi K2.6</t>
        </is>
      </c>
      <c r="C201" s="13" t="inlineStr">
        <is>
          <t>Moonshot</t>
        </is>
      </c>
      <c r="D201" s="13" t="inlineStr">
        <is>
          <t>Kimi K2</t>
        </is>
      </c>
      <c r="E201" s="13" t="inlineStr">
        <is>
          <t>2.6</t>
        </is>
      </c>
      <c r="F201" s="13" t="inlineStr">
        <is>
          <t>Current</t>
        </is>
      </c>
      <c r="G201" s="13" t="inlineStr">
        <is>
          <t>Open Flagship (cheap)</t>
        </is>
      </c>
      <c r="H201" s="13" t="inlineStr">
        <is>
          <t>OpenRouter</t>
        </is>
      </c>
      <c r="I201" s="13" t="inlineStr">
        <is>
          <t>Aggregator</t>
        </is>
      </c>
      <c r="J201" s="13" t="inlineStr">
        <is>
          <t>Not-keyed</t>
        </is>
      </c>
      <c r="K201" s="13" t="inlineStr">
        <is>
          <t>metered (not configured)</t>
        </is>
      </c>
      <c r="L201" s="13" t="inlineStr">
        <is>
          <t>No</t>
        </is>
      </c>
      <c r="M201" s="13" t="n">
        <v>8.6</v>
      </c>
      <c r="N201" s="13" t="n">
        <v>8.4</v>
      </c>
      <c r="O201" s="13" t="n">
        <v>8.199999999999999</v>
      </c>
      <c r="P201" s="13" t="n">
        <v>8.199999999999999</v>
      </c>
      <c r="Q201" s="13">
        <f>IFERROR(ROUND(AVERAGE(M201:P201),1),"")</f>
        <v/>
      </c>
      <c r="R201" s="13" t="n">
        <v>8.800000000000001</v>
      </c>
      <c r="S201" s="13" t="n">
        <v>8.6</v>
      </c>
      <c r="T201" s="13" t="n">
        <v>8.4</v>
      </c>
      <c r="U201" s="13" t="n">
        <v>8.6</v>
      </c>
      <c r="V201" s="13">
        <f>IFERROR(ROUND(AVERAGE(R201:U201),1),"")</f>
        <v/>
      </c>
      <c r="W201" s="13" t="n">
        <v>8.6</v>
      </c>
      <c r="X201" s="13" t="n">
        <v>8.6</v>
      </c>
      <c r="Y201" s="13" t="n">
        <v>8.199999999999999</v>
      </c>
      <c r="Z201" s="13" t="n">
        <v>8.4</v>
      </c>
      <c r="AA201" s="13">
        <f>IFERROR(ROUND(AVERAGE(W201:Z201),1),"")</f>
        <v/>
      </c>
      <c r="AB201" s="13" t="n">
        <v>8.199999999999999</v>
      </c>
      <c r="AC201" s="13" t="n">
        <v>8.199999999999999</v>
      </c>
      <c r="AD201" s="13" t="n">
        <v>8</v>
      </c>
      <c r="AE201" s="13" t="n">
        <v>8.199999999999999</v>
      </c>
      <c r="AF201" s="13">
        <f>IFERROR(ROUND(AVERAGE(AB201:AE201),1),"")</f>
        <v/>
      </c>
      <c r="AG201" s="13" t="n">
        <v>8</v>
      </c>
      <c r="AH201" s="13" t="n">
        <v>7.2</v>
      </c>
      <c r="AI201" s="13" t="n">
        <v>8.199999999999999</v>
      </c>
      <c r="AJ201" s="13" t="n">
        <v>8.4</v>
      </c>
      <c r="AK201" s="13">
        <f>IFERROR(ROUND(AVERAGE(AG201:AJ201),1),"")</f>
        <v/>
      </c>
      <c r="AL201" s="13" t="n">
        <v>8</v>
      </c>
      <c r="AM201" s="13" t="n">
        <v>8</v>
      </c>
      <c r="AN201" s="13" t="inlineStr"/>
      <c r="AO201" s="13">
        <f>IFERROR(ROUND(AVERAGE(AL201:AN201),1),"")</f>
        <v/>
      </c>
      <c r="AP201" s="13" t="n">
        <v>7.5</v>
      </c>
      <c r="AQ201" s="13" t="n">
        <v>7.5</v>
      </c>
      <c r="AR201" s="13" t="n">
        <v>8</v>
      </c>
      <c r="AS201" s="13" t="n">
        <v>9</v>
      </c>
      <c r="AT201" s="13">
        <f>IFERROR(ROUND(AVERAGE(AP201:AS201),1),"")</f>
        <v/>
      </c>
      <c r="AU201" s="13" t="n">
        <v>7.8</v>
      </c>
      <c r="AV201" s="13" t="n">
        <v>7.8</v>
      </c>
      <c r="AW201" s="13" t="n">
        <v>7.6</v>
      </c>
      <c r="AX201" s="13" t="n">
        <v>7.8</v>
      </c>
      <c r="AY201" s="13">
        <f>IFERROR(ROUND(AVERAGE(AU201:AX201),1),"")</f>
        <v/>
      </c>
      <c r="AZ201" s="13">
        <f>ROUND(0.19*N(Q201)+0.17*N(V201)+0.17*N(AA201)+0.1*N(AF201)+0.09*N(AK201)+0.12*N(AT201)+0.16*N(AY201),1)</f>
        <v/>
      </c>
      <c r="BA201" s="13" t="inlineStr">
        <is>
          <t>256K</t>
        </is>
      </c>
      <c r="BB201" s="13" t="n"/>
      <c r="BC201" s="13" t="n">
        <v>0.6</v>
      </c>
      <c r="BD201" s="13" t="inlineStr"/>
      <c r="BE201" s="13" t="inlineStr">
        <is>
          <t>high</t>
        </is>
      </c>
      <c r="BF201" s="13" t="n">
        <v>5</v>
      </c>
      <c r="BG201" s="13" t="n">
        <v>4</v>
      </c>
      <c r="BH201" s="13" t="inlineStr">
        <is>
          <t>Beat GPT-5.4 on SWE-bench Pro at $0.60/M; top open MMMU-Pro</t>
        </is>
      </c>
      <c r="BI201" s="13" t="inlineStr"/>
      <c r="BJ201" s="14" t="inlineStr">
        <is>
          <t>H</t>
        </is>
      </c>
      <c r="BK201" s="13" t="inlineStr">
        <is>
          <t>SWE-bench Pro leader vs V4; MMMU-Pro 0.801 (open #1); benchmark-anchored (AA Index, SWE-bench, GPQA, ARC-AGI-2, Aider, MMMU 2026-06)</t>
        </is>
      </c>
      <c r="BL201" s="13" t="inlineStr">
        <is>
          <t>2026-06-07</t>
        </is>
      </c>
    </row>
    <row r="202">
      <c r="A202" s="13" t="inlineStr">
        <is>
          <t>kimi-k2.5</t>
        </is>
      </c>
      <c r="B202" s="13" t="inlineStr">
        <is>
          <t>Kimi K2.5</t>
        </is>
      </c>
      <c r="C202" s="13" t="inlineStr">
        <is>
          <t>Moonshot</t>
        </is>
      </c>
      <c r="D202" s="13" t="inlineStr">
        <is>
          <t>Kimi K2</t>
        </is>
      </c>
      <c r="E202" s="13" t="inlineStr">
        <is>
          <t>2.5</t>
        </is>
      </c>
      <c r="F202" s="13" t="inlineStr">
        <is>
          <t>Legacy</t>
        </is>
      </c>
      <c r="G202" s="13" t="inlineStr">
        <is>
          <t>Open (cheap)</t>
        </is>
      </c>
      <c r="H202" s="13" t="inlineStr">
        <is>
          <t>Together AI</t>
        </is>
      </c>
      <c r="I202" s="13" t="inlineStr">
        <is>
          <t>Aggregator</t>
        </is>
      </c>
      <c r="J202" s="13" t="inlineStr">
        <is>
          <t>Not-keyed</t>
        </is>
      </c>
      <c r="K202" s="13" t="inlineStr">
        <is>
          <t>metered (not configured)</t>
        </is>
      </c>
      <c r="L202" s="13" t="inlineStr">
        <is>
          <t>No</t>
        </is>
      </c>
      <c r="M202" s="13" t="n">
        <v>8.199999999999999</v>
      </c>
      <c r="N202" s="13" t="n">
        <v>8</v>
      </c>
      <c r="O202" s="13" t="n">
        <v>7.8</v>
      </c>
      <c r="P202" s="13" t="n">
        <v>7.8</v>
      </c>
      <c r="Q202" s="13">
        <f>IFERROR(ROUND(AVERAGE(M202:P202),1),"")</f>
        <v/>
      </c>
      <c r="R202" s="13" t="n">
        <v>8.4</v>
      </c>
      <c r="S202" s="13" t="n">
        <v>8.199999999999999</v>
      </c>
      <c r="T202" s="13" t="n">
        <v>8</v>
      </c>
      <c r="U202" s="13" t="n">
        <v>8.199999999999999</v>
      </c>
      <c r="V202" s="13">
        <f>IFERROR(ROUND(AVERAGE(R202:U202),1),"")</f>
        <v/>
      </c>
      <c r="W202" s="13" t="n">
        <v>8.199999999999999</v>
      </c>
      <c r="X202" s="13" t="n">
        <v>8.199999999999999</v>
      </c>
      <c r="Y202" s="13" t="n">
        <v>7.8</v>
      </c>
      <c r="Z202" s="13" t="n">
        <v>8</v>
      </c>
      <c r="AA202" s="13">
        <f>IFERROR(ROUND(AVERAGE(W202:Z202),1),"")</f>
        <v/>
      </c>
      <c r="AB202" s="13" t="n">
        <v>8</v>
      </c>
      <c r="AC202" s="13" t="n">
        <v>8</v>
      </c>
      <c r="AD202" s="13" t="n">
        <v>7.8</v>
      </c>
      <c r="AE202" s="13" t="n">
        <v>8</v>
      </c>
      <c r="AF202" s="13">
        <f>IFERROR(ROUND(AVERAGE(AB202:AE202),1),"")</f>
        <v/>
      </c>
      <c r="AG202" s="13" t="n">
        <v>7.6</v>
      </c>
      <c r="AH202" s="13" t="n">
        <v>7</v>
      </c>
      <c r="AI202" s="13" t="n">
        <v>7.8</v>
      </c>
      <c r="AJ202" s="13" t="n">
        <v>8</v>
      </c>
      <c r="AK202" s="13">
        <f>IFERROR(ROUND(AVERAGE(AG202:AJ202),1),"")</f>
        <v/>
      </c>
      <c r="AL202" s="13" t="inlineStr"/>
      <c r="AM202" s="13" t="inlineStr"/>
      <c r="AN202" s="13" t="inlineStr"/>
      <c r="AO202" s="13">
        <f>IFERROR(ROUND(AVERAGE(AL202:AN202),1),"")</f>
        <v/>
      </c>
      <c r="AP202" s="13" t="n">
        <v>7.5</v>
      </c>
      <c r="AQ202" s="13" t="n">
        <v>7.5</v>
      </c>
      <c r="AR202" s="13" t="n">
        <v>8</v>
      </c>
      <c r="AS202" s="13" t="n">
        <v>9</v>
      </c>
      <c r="AT202" s="13">
        <f>IFERROR(ROUND(AVERAGE(AP202:AS202),1),"")</f>
        <v/>
      </c>
      <c r="AU202" s="13" t="n">
        <v>7.6</v>
      </c>
      <c r="AV202" s="13" t="n">
        <v>7.6</v>
      </c>
      <c r="AW202" s="13" t="n">
        <v>7.4</v>
      </c>
      <c r="AX202" s="13" t="n">
        <v>7.6</v>
      </c>
      <c r="AY202" s="13">
        <f>IFERROR(ROUND(AVERAGE(AU202:AX202),1),"")</f>
        <v/>
      </c>
      <c r="AZ202" s="13">
        <f>ROUND(0.19*N(Q202)+0.17*N(V202)+0.17*N(AA202)+0.1*N(AF202)+0.09*N(AK202)+0.12*N(AT202)+0.16*N(AY202),1)</f>
        <v/>
      </c>
      <c r="BA202" s="13" t="inlineStr">
        <is>
          <t>256K</t>
        </is>
      </c>
      <c r="BB202" s="13" t="n"/>
      <c r="BC202" s="13" t="inlineStr"/>
      <c r="BD202" s="13" t="inlineStr"/>
      <c r="BE202" s="13" t="inlineStr">
        <is>
          <t>high</t>
        </is>
      </c>
      <c r="BF202" s="13" t="n">
        <v>4</v>
      </c>
      <c r="BG202" s="13" t="n">
        <v>4</v>
      </c>
      <c r="BH202" s="13" t="inlineStr">
        <is>
          <t>Prior Kimi flagship, cheap</t>
        </is>
      </c>
      <c r="BI202" s="13" t="inlineStr"/>
      <c r="BJ202" s="15" t="inlineStr">
        <is>
          <t>M</t>
        </is>
      </c>
      <c r="BK202" s="13" t="inlineStr">
        <is>
          <t>K2.5 via Together/Fireworks; family-inherited estimate (scaled from flagship); verify before HIGH-stakes routing</t>
        </is>
      </c>
      <c r="BL202" s="13" t="inlineStr">
        <is>
          <t>2026-06-07</t>
        </is>
      </c>
    </row>
    <row r="203">
      <c r="A203" s="13" t="inlineStr">
        <is>
          <t>kimi-k2.5</t>
        </is>
      </c>
      <c r="B203" s="13" t="inlineStr">
        <is>
          <t>Kimi K2.5</t>
        </is>
      </c>
      <c r="C203" s="13" t="inlineStr">
        <is>
          <t>Moonshot</t>
        </is>
      </c>
      <c r="D203" s="13" t="inlineStr">
        <is>
          <t>Kimi K2</t>
        </is>
      </c>
      <c r="E203" s="13" t="inlineStr">
        <is>
          <t>2.5</t>
        </is>
      </c>
      <c r="F203" s="13" t="inlineStr">
        <is>
          <t>Legacy</t>
        </is>
      </c>
      <c r="G203" s="13" t="inlineStr">
        <is>
          <t>Open (cheap)</t>
        </is>
      </c>
      <c r="H203" s="13" t="inlineStr">
        <is>
          <t>Fireworks AI</t>
        </is>
      </c>
      <c r="I203" s="13" t="inlineStr">
        <is>
          <t>Aggregator</t>
        </is>
      </c>
      <c r="J203" s="13" t="inlineStr">
        <is>
          <t>Not-keyed</t>
        </is>
      </c>
      <c r="K203" s="13" t="inlineStr">
        <is>
          <t>metered (not configured)</t>
        </is>
      </c>
      <c r="L203" s="13" t="inlineStr">
        <is>
          <t>No</t>
        </is>
      </c>
      <c r="M203" s="13" t="n">
        <v>8.199999999999999</v>
      </c>
      <c r="N203" s="13" t="n">
        <v>8</v>
      </c>
      <c r="O203" s="13" t="n">
        <v>7.8</v>
      </c>
      <c r="P203" s="13" t="n">
        <v>7.8</v>
      </c>
      <c r="Q203" s="13">
        <f>IFERROR(ROUND(AVERAGE(M203:P203),1),"")</f>
        <v/>
      </c>
      <c r="R203" s="13" t="n">
        <v>8.4</v>
      </c>
      <c r="S203" s="13" t="n">
        <v>8.199999999999999</v>
      </c>
      <c r="T203" s="13" t="n">
        <v>8</v>
      </c>
      <c r="U203" s="13" t="n">
        <v>8.199999999999999</v>
      </c>
      <c r="V203" s="13">
        <f>IFERROR(ROUND(AVERAGE(R203:U203),1),"")</f>
        <v/>
      </c>
      <c r="W203" s="13" t="n">
        <v>8.199999999999999</v>
      </c>
      <c r="X203" s="13" t="n">
        <v>8.199999999999999</v>
      </c>
      <c r="Y203" s="13" t="n">
        <v>7.8</v>
      </c>
      <c r="Z203" s="13" t="n">
        <v>8</v>
      </c>
      <c r="AA203" s="13">
        <f>IFERROR(ROUND(AVERAGE(W203:Z203),1),"")</f>
        <v/>
      </c>
      <c r="AB203" s="13" t="n">
        <v>8</v>
      </c>
      <c r="AC203" s="13" t="n">
        <v>8</v>
      </c>
      <c r="AD203" s="13" t="n">
        <v>7.8</v>
      </c>
      <c r="AE203" s="13" t="n">
        <v>8</v>
      </c>
      <c r="AF203" s="13">
        <f>IFERROR(ROUND(AVERAGE(AB203:AE203),1),"")</f>
        <v/>
      </c>
      <c r="AG203" s="13" t="n">
        <v>7.6</v>
      </c>
      <c r="AH203" s="13" t="n">
        <v>7</v>
      </c>
      <c r="AI203" s="13" t="n">
        <v>7.8</v>
      </c>
      <c r="AJ203" s="13" t="n">
        <v>8</v>
      </c>
      <c r="AK203" s="13">
        <f>IFERROR(ROUND(AVERAGE(AG203:AJ203),1),"")</f>
        <v/>
      </c>
      <c r="AL203" s="13" t="inlineStr"/>
      <c r="AM203" s="13" t="inlineStr"/>
      <c r="AN203" s="13" t="inlineStr"/>
      <c r="AO203" s="13">
        <f>IFERROR(ROUND(AVERAGE(AL203:AN203),1),"")</f>
        <v/>
      </c>
      <c r="AP203" s="13" t="n">
        <v>7.5</v>
      </c>
      <c r="AQ203" s="13" t="n">
        <v>7.5</v>
      </c>
      <c r="AR203" s="13" t="n">
        <v>8</v>
      </c>
      <c r="AS203" s="13" t="n">
        <v>9</v>
      </c>
      <c r="AT203" s="13">
        <f>IFERROR(ROUND(AVERAGE(AP203:AS203),1),"")</f>
        <v/>
      </c>
      <c r="AU203" s="13" t="n">
        <v>7.6</v>
      </c>
      <c r="AV203" s="13" t="n">
        <v>7.6</v>
      </c>
      <c r="AW203" s="13" t="n">
        <v>7.4</v>
      </c>
      <c r="AX203" s="13" t="n">
        <v>7.6</v>
      </c>
      <c r="AY203" s="13">
        <f>IFERROR(ROUND(AVERAGE(AU203:AX203),1),"")</f>
        <v/>
      </c>
      <c r="AZ203" s="13">
        <f>ROUND(0.19*N(Q203)+0.17*N(V203)+0.17*N(AA203)+0.1*N(AF203)+0.09*N(AK203)+0.12*N(AT203)+0.16*N(AY203),1)</f>
        <v/>
      </c>
      <c r="BA203" s="13" t="inlineStr">
        <is>
          <t>256K</t>
        </is>
      </c>
      <c r="BB203" s="13" t="n"/>
      <c r="BC203" s="13" t="inlineStr"/>
      <c r="BD203" s="13" t="inlineStr"/>
      <c r="BE203" s="13" t="inlineStr">
        <is>
          <t>high</t>
        </is>
      </c>
      <c r="BF203" s="13" t="n">
        <v>4</v>
      </c>
      <c r="BG203" s="13" t="n">
        <v>4</v>
      </c>
      <c r="BH203" s="13" t="inlineStr">
        <is>
          <t>Prior Kimi flagship, cheap</t>
        </is>
      </c>
      <c r="BI203" s="13" t="inlineStr"/>
      <c r="BJ203" s="15" t="inlineStr">
        <is>
          <t>M</t>
        </is>
      </c>
      <c r="BK203" s="13" t="inlineStr">
        <is>
          <t>K2.5 via Together/Fireworks; family-inherited estimate (scaled from flagship); verify before HIGH-stakes routing</t>
        </is>
      </c>
      <c r="BL203" s="13" t="inlineStr">
        <is>
          <t>2026-06-07</t>
        </is>
      </c>
    </row>
    <row r="204">
      <c r="A204" s="13" t="inlineStr">
        <is>
          <t>kimi-k2.5</t>
        </is>
      </c>
      <c r="B204" s="13" t="inlineStr">
        <is>
          <t>Kimi K2.5</t>
        </is>
      </c>
      <c r="C204" s="13" t="inlineStr">
        <is>
          <t>Moonshot</t>
        </is>
      </c>
      <c r="D204" s="13" t="inlineStr">
        <is>
          <t>Kimi K2</t>
        </is>
      </c>
      <c r="E204" s="13" t="inlineStr">
        <is>
          <t>2.5</t>
        </is>
      </c>
      <c r="F204" s="13" t="inlineStr">
        <is>
          <t>Legacy</t>
        </is>
      </c>
      <c r="G204" s="13" t="inlineStr">
        <is>
          <t>Open (cheap)</t>
        </is>
      </c>
      <c r="H204" s="13" t="inlineStr">
        <is>
          <t>OpenRouter</t>
        </is>
      </c>
      <c r="I204" s="13" t="inlineStr">
        <is>
          <t>Aggregator</t>
        </is>
      </c>
      <c r="J204" s="13" t="inlineStr">
        <is>
          <t>Not-keyed</t>
        </is>
      </c>
      <c r="K204" s="13" t="inlineStr">
        <is>
          <t>metered (not configured)</t>
        </is>
      </c>
      <c r="L204" s="13" t="inlineStr">
        <is>
          <t>No</t>
        </is>
      </c>
      <c r="M204" s="13" t="n">
        <v>8.199999999999999</v>
      </c>
      <c r="N204" s="13" t="n">
        <v>8</v>
      </c>
      <c r="O204" s="13" t="n">
        <v>7.8</v>
      </c>
      <c r="P204" s="13" t="n">
        <v>7.8</v>
      </c>
      <c r="Q204" s="13">
        <f>IFERROR(ROUND(AVERAGE(M204:P204),1),"")</f>
        <v/>
      </c>
      <c r="R204" s="13" t="n">
        <v>8.4</v>
      </c>
      <c r="S204" s="13" t="n">
        <v>8.199999999999999</v>
      </c>
      <c r="T204" s="13" t="n">
        <v>8</v>
      </c>
      <c r="U204" s="13" t="n">
        <v>8.199999999999999</v>
      </c>
      <c r="V204" s="13">
        <f>IFERROR(ROUND(AVERAGE(R204:U204),1),"")</f>
        <v/>
      </c>
      <c r="W204" s="13" t="n">
        <v>8.199999999999999</v>
      </c>
      <c r="X204" s="13" t="n">
        <v>8.199999999999999</v>
      </c>
      <c r="Y204" s="13" t="n">
        <v>7.8</v>
      </c>
      <c r="Z204" s="13" t="n">
        <v>8</v>
      </c>
      <c r="AA204" s="13">
        <f>IFERROR(ROUND(AVERAGE(W204:Z204),1),"")</f>
        <v/>
      </c>
      <c r="AB204" s="13" t="n">
        <v>8</v>
      </c>
      <c r="AC204" s="13" t="n">
        <v>8</v>
      </c>
      <c r="AD204" s="13" t="n">
        <v>7.8</v>
      </c>
      <c r="AE204" s="13" t="n">
        <v>8</v>
      </c>
      <c r="AF204" s="13">
        <f>IFERROR(ROUND(AVERAGE(AB204:AE204),1),"")</f>
        <v/>
      </c>
      <c r="AG204" s="13" t="n">
        <v>7.6</v>
      </c>
      <c r="AH204" s="13" t="n">
        <v>7</v>
      </c>
      <c r="AI204" s="13" t="n">
        <v>7.8</v>
      </c>
      <c r="AJ204" s="13" t="n">
        <v>8</v>
      </c>
      <c r="AK204" s="13">
        <f>IFERROR(ROUND(AVERAGE(AG204:AJ204),1),"")</f>
        <v/>
      </c>
      <c r="AL204" s="13" t="inlineStr"/>
      <c r="AM204" s="13" t="inlineStr"/>
      <c r="AN204" s="13" t="inlineStr"/>
      <c r="AO204" s="13">
        <f>IFERROR(ROUND(AVERAGE(AL204:AN204),1),"")</f>
        <v/>
      </c>
      <c r="AP204" s="13" t="n">
        <v>7.5</v>
      </c>
      <c r="AQ204" s="13" t="n">
        <v>7.5</v>
      </c>
      <c r="AR204" s="13" t="n">
        <v>8</v>
      </c>
      <c r="AS204" s="13" t="n">
        <v>9</v>
      </c>
      <c r="AT204" s="13">
        <f>IFERROR(ROUND(AVERAGE(AP204:AS204),1),"")</f>
        <v/>
      </c>
      <c r="AU204" s="13" t="n">
        <v>7.6</v>
      </c>
      <c r="AV204" s="13" t="n">
        <v>7.6</v>
      </c>
      <c r="AW204" s="13" t="n">
        <v>7.4</v>
      </c>
      <c r="AX204" s="13" t="n">
        <v>7.6</v>
      </c>
      <c r="AY204" s="13">
        <f>IFERROR(ROUND(AVERAGE(AU204:AX204),1),"")</f>
        <v/>
      </c>
      <c r="AZ204" s="13">
        <f>ROUND(0.19*N(Q204)+0.17*N(V204)+0.17*N(AA204)+0.1*N(AF204)+0.09*N(AK204)+0.12*N(AT204)+0.16*N(AY204),1)</f>
        <v/>
      </c>
      <c r="BA204" s="13" t="inlineStr">
        <is>
          <t>256K</t>
        </is>
      </c>
      <c r="BB204" s="13" t="n"/>
      <c r="BC204" s="13" t="inlineStr"/>
      <c r="BD204" s="13" t="inlineStr"/>
      <c r="BE204" s="13" t="inlineStr">
        <is>
          <t>high</t>
        </is>
      </c>
      <c r="BF204" s="13" t="n">
        <v>4</v>
      </c>
      <c r="BG204" s="13" t="n">
        <v>4</v>
      </c>
      <c r="BH204" s="13" t="inlineStr">
        <is>
          <t>Prior Kimi flagship, cheap</t>
        </is>
      </c>
      <c r="BI204" s="13" t="inlineStr"/>
      <c r="BJ204" s="15" t="inlineStr">
        <is>
          <t>M</t>
        </is>
      </c>
      <c r="BK204" s="13" t="inlineStr">
        <is>
          <t>K2.5 via Together/Fireworks; family-inherited estimate (scaled from flagship); verify before HIGH-stakes routing</t>
        </is>
      </c>
      <c r="BL204" s="13" t="inlineStr">
        <is>
          <t>2026-06-07</t>
        </is>
      </c>
    </row>
    <row r="205">
      <c r="A205" s="13" t="inlineStr">
        <is>
          <t>amazon.nova-pro-v1:0</t>
        </is>
      </c>
      <c r="B205" s="13" t="inlineStr">
        <is>
          <t>Amazon Nova Pro</t>
        </is>
      </c>
      <c r="C205" s="13" t="inlineStr">
        <is>
          <t>Amazon</t>
        </is>
      </c>
      <c r="D205" s="13" t="inlineStr">
        <is>
          <t>Nova</t>
        </is>
      </c>
      <c r="E205" s="13" t="inlineStr">
        <is>
          <t>pro</t>
        </is>
      </c>
      <c r="F205" s="13" t="inlineStr">
        <is>
          <t>Current</t>
        </is>
      </c>
      <c r="G205" s="13" t="inlineStr">
        <is>
          <t>Workhorse (Bedrock)</t>
        </is>
      </c>
      <c r="H205" s="13" t="inlineStr">
        <is>
          <t>Amazon Bedrock (Kiro)</t>
        </is>
      </c>
      <c r="I205" s="13" t="inlineStr">
        <is>
          <t>Aggregator</t>
        </is>
      </c>
      <c r="J205" s="13" t="inlineStr">
        <is>
          <t>Installed; login unverified</t>
        </is>
      </c>
      <c r="K205" s="13" t="inlineStr">
        <is>
          <t>metered (not configured)</t>
        </is>
      </c>
      <c r="L205" s="13" t="inlineStr">
        <is>
          <t>No</t>
        </is>
      </c>
      <c r="M205" s="13" t="n">
        <v>7.4</v>
      </c>
      <c r="N205" s="13" t="n">
        <v>6.8</v>
      </c>
      <c r="O205" s="13" t="n">
        <v>6.8</v>
      </c>
      <c r="P205" s="13" t="n">
        <v>7.2</v>
      </c>
      <c r="Q205" s="13">
        <f>IFERROR(ROUND(AVERAGE(M205:P205),1),"")</f>
        <v/>
      </c>
      <c r="R205" s="13" t="n">
        <v>7</v>
      </c>
      <c r="S205" s="13" t="n">
        <v>6.2</v>
      </c>
      <c r="T205" s="13" t="n">
        <v>6.4</v>
      </c>
      <c r="U205" s="13" t="n">
        <v>7</v>
      </c>
      <c r="V205" s="13">
        <f>IFERROR(ROUND(AVERAGE(R205:U205),1),"")</f>
        <v/>
      </c>
      <c r="W205" s="13" t="n">
        <v>7.4</v>
      </c>
      <c r="X205" s="13" t="n">
        <v>7</v>
      </c>
      <c r="Y205" s="13" t="n">
        <v>6.6</v>
      </c>
      <c r="Z205" s="13" t="n">
        <v>7.6</v>
      </c>
      <c r="AA205" s="13">
        <f>IFERROR(ROUND(AVERAGE(W205:Z205),1),"")</f>
        <v/>
      </c>
      <c r="AB205" s="13" t="n">
        <v>7.4</v>
      </c>
      <c r="AC205" s="13" t="n">
        <v>7.4</v>
      </c>
      <c r="AD205" s="13" t="n">
        <v>7.2</v>
      </c>
      <c r="AE205" s="13" t="n">
        <v>7.4</v>
      </c>
      <c r="AF205" s="13">
        <f>IFERROR(ROUND(AVERAGE(AB205:AE205),1),"")</f>
        <v/>
      </c>
      <c r="AG205" s="13" t="n">
        <v>6.8</v>
      </c>
      <c r="AH205" s="13" t="n">
        <v>6.2</v>
      </c>
      <c r="AI205" s="13" t="n">
        <v>7.4</v>
      </c>
      <c r="AJ205" s="13" t="n">
        <v>7</v>
      </c>
      <c r="AK205" s="13">
        <f>IFERROR(ROUND(AVERAGE(AG205:AJ205),1),"")</f>
        <v/>
      </c>
      <c r="AL205" s="13" t="n">
        <v>7.8</v>
      </c>
      <c r="AM205" s="13" t="n">
        <v>7.8</v>
      </c>
      <c r="AN205" s="13" t="inlineStr"/>
      <c r="AO205" s="13">
        <f>IFERROR(ROUND(AVERAGE(AL205:AN205),1),"")</f>
        <v/>
      </c>
      <c r="AP205" s="13" t="n">
        <v>8</v>
      </c>
      <c r="AQ205" s="13" t="n">
        <v>8</v>
      </c>
      <c r="AR205" s="13" t="n">
        <v>8</v>
      </c>
      <c r="AS205" s="13" t="n">
        <v>8.5</v>
      </c>
      <c r="AT205" s="13">
        <f>IFERROR(ROUND(AVERAGE(AP205:AS205),1),"")</f>
        <v/>
      </c>
      <c r="AU205" s="13" t="n">
        <v>7.4</v>
      </c>
      <c r="AV205" s="13" t="n">
        <v>7.6</v>
      </c>
      <c r="AW205" s="13" t="n">
        <v>7.6</v>
      </c>
      <c r="AX205" s="13" t="n">
        <v>7.4</v>
      </c>
      <c r="AY205" s="13">
        <f>IFERROR(ROUND(AVERAGE(AU205:AX205),1),"")</f>
        <v/>
      </c>
      <c r="AZ205" s="13">
        <f>ROUND(0.19*N(Q205)+0.17*N(V205)+0.17*N(AA205)+0.1*N(AF205)+0.09*N(AK205)+0.12*N(AT205)+0.16*N(AY205),1)</f>
        <v/>
      </c>
      <c r="BA205" s="13" t="inlineStr">
        <is>
          <t>300K</t>
        </is>
      </c>
      <c r="BB205" s="13" t="n"/>
      <c r="BC205" s="13" t="inlineStr"/>
      <c r="BD205" s="13" t="inlineStr"/>
      <c r="BE205" s="13" t="inlineStr">
        <is>
          <t>high</t>
        </is>
      </c>
      <c r="BF205" s="13" t="n">
        <v>4</v>
      </c>
      <c r="BG205" s="13" t="n">
        <v>4</v>
      </c>
      <c r="BH205" s="13" t="inlineStr">
        <is>
          <t>Balanced Bedrock-native multimodal, agentic</t>
        </is>
      </c>
      <c r="BI205" s="13" t="inlineStr">
        <is>
          <t>Frontier reasoning</t>
        </is>
      </c>
      <c r="BJ205" s="15" t="inlineStr">
        <is>
          <t>M</t>
        </is>
      </c>
      <c r="BK205" s="13" t="inlineStr">
        <is>
          <t>AWS Nova flagship; family-inherited estimate (scaled from flagship); verify before HIGH-stakes routing</t>
        </is>
      </c>
      <c r="BL205" s="13" t="inlineStr">
        <is>
          <t>2026-06-07</t>
        </is>
      </c>
    </row>
    <row r="206">
      <c r="A206" s="13" t="inlineStr">
        <is>
          <t>amazon.nova-lite-v1:0</t>
        </is>
      </c>
      <c r="B206" s="13" t="inlineStr">
        <is>
          <t>Amazon Nova Lite</t>
        </is>
      </c>
      <c r="C206" s="13" t="inlineStr">
        <is>
          <t>Amazon</t>
        </is>
      </c>
      <c r="D206" s="13" t="inlineStr">
        <is>
          <t>Nova</t>
        </is>
      </c>
      <c r="E206" s="13" t="inlineStr">
        <is>
          <t>lite</t>
        </is>
      </c>
      <c r="F206" s="13" t="inlineStr">
        <is>
          <t>Current</t>
        </is>
      </c>
      <c r="G206" s="13" t="inlineStr">
        <is>
          <t>Fast-Cheap (Bedrock)</t>
        </is>
      </c>
      <c r="H206" s="13" t="inlineStr">
        <is>
          <t>Amazon Bedrock (Kiro)</t>
        </is>
      </c>
      <c r="I206" s="13" t="inlineStr">
        <is>
          <t>Aggregator</t>
        </is>
      </c>
      <c r="J206" s="13" t="inlineStr">
        <is>
          <t>Installed; login unverified</t>
        </is>
      </c>
      <c r="K206" s="13" t="inlineStr">
        <is>
          <t>metered (not configured)</t>
        </is>
      </c>
      <c r="L206" s="13" t="inlineStr">
        <is>
          <t>No</t>
        </is>
      </c>
      <c r="M206" s="13" t="n">
        <v>6.6</v>
      </c>
      <c r="N206" s="13" t="n">
        <v>6</v>
      </c>
      <c r="O206" s="13" t="n">
        <v>6</v>
      </c>
      <c r="P206" s="13" t="n">
        <v>6.6</v>
      </c>
      <c r="Q206" s="13">
        <f>IFERROR(ROUND(AVERAGE(M206:P206),1),"")</f>
        <v/>
      </c>
      <c r="R206" s="13" t="n">
        <v>6.4</v>
      </c>
      <c r="S206" s="13" t="n">
        <v>5.8</v>
      </c>
      <c r="T206" s="13" t="n">
        <v>5.8</v>
      </c>
      <c r="U206" s="13" t="n">
        <v>6.4</v>
      </c>
      <c r="V206" s="13">
        <f>IFERROR(ROUND(AVERAGE(R206:U206),1),"")</f>
        <v/>
      </c>
      <c r="W206" s="13" t="n">
        <v>6.8</v>
      </c>
      <c r="X206" s="13" t="n">
        <v>6.4</v>
      </c>
      <c r="Y206" s="13" t="n">
        <v>6</v>
      </c>
      <c r="Z206" s="13" t="n">
        <v>7</v>
      </c>
      <c r="AA206" s="13">
        <f>IFERROR(ROUND(AVERAGE(W206:Z206),1),"")</f>
        <v/>
      </c>
      <c r="AB206" s="13" t="n">
        <v>6.8</v>
      </c>
      <c r="AC206" s="13" t="n">
        <v>6.8</v>
      </c>
      <c r="AD206" s="13" t="n">
        <v>6.8</v>
      </c>
      <c r="AE206" s="13" t="n">
        <v>6.8</v>
      </c>
      <c r="AF206" s="13">
        <f>IFERROR(ROUND(AVERAGE(AB206:AE206),1),"")</f>
        <v/>
      </c>
      <c r="AG206" s="13" t="n">
        <v>6.2</v>
      </c>
      <c r="AH206" s="13" t="n">
        <v>5.6</v>
      </c>
      <c r="AI206" s="13" t="n">
        <v>6.8</v>
      </c>
      <c r="AJ206" s="13" t="n">
        <v>6.2</v>
      </c>
      <c r="AK206" s="13">
        <f>IFERROR(ROUND(AVERAGE(AG206:AJ206),1),"")</f>
        <v/>
      </c>
      <c r="AL206" s="13" t="n">
        <v>7.2</v>
      </c>
      <c r="AM206" s="13" t="n">
        <v>7.2</v>
      </c>
      <c r="AN206" s="13" t="inlineStr"/>
      <c r="AO206" s="13">
        <f>IFERROR(ROUND(AVERAGE(AL206:AN206),1),"")</f>
        <v/>
      </c>
      <c r="AP206" s="13" t="n">
        <v>9</v>
      </c>
      <c r="AQ206" s="13" t="n">
        <v>9</v>
      </c>
      <c r="AR206" s="13" t="n">
        <v>8</v>
      </c>
      <c r="AS206" s="13" t="n">
        <v>9.199999999999999</v>
      </c>
      <c r="AT206" s="13">
        <f>IFERROR(ROUND(AVERAGE(AP206:AS206),1),"")</f>
        <v/>
      </c>
      <c r="AU206" s="13" t="n">
        <v>7</v>
      </c>
      <c r="AV206" s="13" t="n">
        <v>7.2</v>
      </c>
      <c r="AW206" s="13" t="n">
        <v>7.4</v>
      </c>
      <c r="AX206" s="13" t="n">
        <v>7</v>
      </c>
      <c r="AY206" s="13">
        <f>IFERROR(ROUND(AVERAGE(AU206:AX206),1),"")</f>
        <v/>
      </c>
      <c r="AZ206" s="13">
        <f>ROUND(0.19*N(Q206)+0.17*N(V206)+0.17*N(AA206)+0.1*N(AF206)+0.09*N(AK206)+0.12*N(AT206)+0.16*N(AY206),1)</f>
        <v/>
      </c>
      <c r="BA206" s="13" t="inlineStr">
        <is>
          <t>300K</t>
        </is>
      </c>
      <c r="BB206" s="13" t="n"/>
      <c r="BC206" s="13" t="inlineStr"/>
      <c r="BD206" s="13" t="inlineStr"/>
      <c r="BE206" s="13" t="inlineStr">
        <is>
          <t>medium</t>
        </is>
      </c>
      <c r="BF206" s="13" t="n">
        <v>3</v>
      </c>
      <c r="BG206" s="13" t="n">
        <v>3</v>
      </c>
      <c r="BH206" s="13" t="inlineStr">
        <is>
          <t>Low-cost multimodal at scale</t>
        </is>
      </c>
      <c r="BI206" s="13" t="inlineStr">
        <is>
          <t>Depth</t>
        </is>
      </c>
      <c r="BJ206" s="15" t="inlineStr">
        <is>
          <t>M</t>
        </is>
      </c>
      <c r="BK206" s="13" t="inlineStr">
        <is>
          <t>Nova low-cost tier; family-inherited estimate (scaled from flagship); verify before HIGH-stakes routing</t>
        </is>
      </c>
      <c r="BL206" s="13" t="inlineStr">
        <is>
          <t>2026-06-07</t>
        </is>
      </c>
    </row>
    <row r="207">
      <c r="A207" s="13" t="inlineStr">
        <is>
          <t>amazon.nova-micro-v1:0</t>
        </is>
      </c>
      <c r="B207" s="13" t="inlineStr">
        <is>
          <t>Amazon Nova Micro</t>
        </is>
      </c>
      <c r="C207" s="13" t="inlineStr">
        <is>
          <t>Amazon</t>
        </is>
      </c>
      <c r="D207" s="13" t="inlineStr">
        <is>
          <t>Nova</t>
        </is>
      </c>
      <c r="E207" s="13" t="inlineStr">
        <is>
          <t>micro</t>
        </is>
      </c>
      <c r="F207" s="13" t="inlineStr">
        <is>
          <t>Current</t>
        </is>
      </c>
      <c r="G207" s="13" t="inlineStr">
        <is>
          <t>Fast-Cheap (text)</t>
        </is>
      </c>
      <c r="H207" s="13" t="inlineStr">
        <is>
          <t>Amazon Bedrock (Kiro)</t>
        </is>
      </c>
      <c r="I207" s="13" t="inlineStr">
        <is>
          <t>Aggregator</t>
        </is>
      </c>
      <c r="J207" s="13" t="inlineStr">
        <is>
          <t>Installed; login unverified</t>
        </is>
      </c>
      <c r="K207" s="13" t="inlineStr">
        <is>
          <t>metered (not configured)</t>
        </is>
      </c>
      <c r="L207" s="13" t="inlineStr">
        <is>
          <t>No</t>
        </is>
      </c>
      <c r="M207" s="13" t="n">
        <v>6</v>
      </c>
      <c r="N207" s="13" t="n">
        <v>5.4</v>
      </c>
      <c r="O207" s="13" t="n">
        <v>5.4</v>
      </c>
      <c r="P207" s="13" t="n">
        <v>6</v>
      </c>
      <c r="Q207" s="13">
        <f>IFERROR(ROUND(AVERAGE(M207:P207),1),"")</f>
        <v/>
      </c>
      <c r="R207" s="13" t="n">
        <v>5.8</v>
      </c>
      <c r="S207" s="13" t="n">
        <v>5</v>
      </c>
      <c r="T207" s="13" t="n">
        <v>5.2</v>
      </c>
      <c r="U207" s="13" t="n">
        <v>5.8</v>
      </c>
      <c r="V207" s="13">
        <f>IFERROR(ROUND(AVERAGE(R207:U207),1),"")</f>
        <v/>
      </c>
      <c r="W207" s="13" t="n">
        <v>6.2</v>
      </c>
      <c r="X207" s="13" t="n">
        <v>5.8</v>
      </c>
      <c r="Y207" s="13" t="n">
        <v>5.2</v>
      </c>
      <c r="Z207" s="13" t="n">
        <v>6.4</v>
      </c>
      <c r="AA207" s="13">
        <f>IFERROR(ROUND(AVERAGE(W207:Z207),1),"")</f>
        <v/>
      </c>
      <c r="AB207" s="13" t="n">
        <v>6.2</v>
      </c>
      <c r="AC207" s="13" t="n">
        <v>6.2</v>
      </c>
      <c r="AD207" s="13" t="n">
        <v>6.2</v>
      </c>
      <c r="AE207" s="13" t="n">
        <v>6.2</v>
      </c>
      <c r="AF207" s="13">
        <f>IFERROR(ROUND(AVERAGE(AB207:AE207),1),"")</f>
        <v/>
      </c>
      <c r="AG207" s="13" t="n">
        <v>5.6</v>
      </c>
      <c r="AH207" s="13" t="n">
        <v>5</v>
      </c>
      <c r="AI207" s="13" t="n">
        <v>6.2</v>
      </c>
      <c r="AJ207" s="13" t="n">
        <v>5.6</v>
      </c>
      <c r="AK207" s="13">
        <f>IFERROR(ROUND(AVERAGE(AG207:AJ207),1),"")</f>
        <v/>
      </c>
      <c r="AL207" s="13" t="inlineStr"/>
      <c r="AM207" s="13" t="inlineStr"/>
      <c r="AN207" s="13" t="inlineStr"/>
      <c r="AO207" s="13">
        <f>IFERROR(ROUND(AVERAGE(AL207:AN207),1),"")</f>
        <v/>
      </c>
      <c r="AP207" s="13" t="n">
        <v>9.4</v>
      </c>
      <c r="AQ207" s="13" t="n">
        <v>9.4</v>
      </c>
      <c r="AR207" s="13" t="n">
        <v>7</v>
      </c>
      <c r="AS207" s="13" t="n">
        <v>9.4</v>
      </c>
      <c r="AT207" s="13">
        <f>IFERROR(ROUND(AVERAGE(AP207:AS207),1),"")</f>
        <v/>
      </c>
      <c r="AU207" s="13" t="n">
        <v>6.8</v>
      </c>
      <c r="AV207" s="13" t="n">
        <v>7</v>
      </c>
      <c r="AW207" s="13" t="n">
        <v>7.2</v>
      </c>
      <c r="AX207" s="13" t="n">
        <v>6.8</v>
      </c>
      <c r="AY207" s="13">
        <f>IFERROR(ROUND(AVERAGE(AU207:AX207),1),"")</f>
        <v/>
      </c>
      <c r="AZ207" s="13">
        <f>ROUND(0.19*N(Q207)+0.17*N(V207)+0.17*N(AA207)+0.1*N(AF207)+0.09*N(AK207)+0.12*N(AT207)+0.16*N(AY207),1)</f>
        <v/>
      </c>
      <c r="BA207" s="13" t="inlineStr">
        <is>
          <t>128K</t>
        </is>
      </c>
      <c r="BB207" s="13" t="n"/>
      <c r="BC207" s="13" t="inlineStr"/>
      <c r="BD207" s="13" t="inlineStr"/>
      <c r="BE207" s="13" t="inlineStr">
        <is>
          <t>medium</t>
        </is>
      </c>
      <c r="BF207" s="13" t="n">
        <v>3</v>
      </c>
      <c r="BG207" s="13" t="n">
        <v>3</v>
      </c>
      <c r="BH207" s="13" t="inlineStr">
        <is>
          <t>Lowest-cost text-only Bedrock tasks</t>
        </is>
      </c>
      <c r="BI207" s="13" t="inlineStr">
        <is>
          <t>Multimodal/depth</t>
        </is>
      </c>
      <c r="BJ207" s="15" t="inlineStr">
        <is>
          <t>M</t>
        </is>
      </c>
      <c r="BK207" s="13" t="inlineStr">
        <is>
          <t>Nova text micro; family-inherited estimate (scaled from flagship); verify before HIGH-stakes routing</t>
        </is>
      </c>
      <c r="BL207" s="13" t="inlineStr">
        <is>
          <t>2026-06-07</t>
        </is>
      </c>
    </row>
    <row r="208">
      <c r="A208" s="13" t="inlineStr">
        <is>
          <t>ai21.jamba-1-5-large-v1:0</t>
        </is>
      </c>
      <c r="B208" s="13" t="inlineStr">
        <is>
          <t>Jamba 1.5 Large</t>
        </is>
      </c>
      <c r="C208" s="13" t="inlineStr">
        <is>
          <t>AI21 Labs</t>
        </is>
      </c>
      <c r="D208" s="13" t="inlineStr">
        <is>
          <t>Jamba</t>
        </is>
      </c>
      <c r="E208" s="13" t="inlineStr">
        <is>
          <t>1.5-large</t>
        </is>
      </c>
      <c r="F208" s="13" t="inlineStr">
        <is>
          <t>Current</t>
        </is>
      </c>
      <c r="G208" s="13" t="inlineStr">
        <is>
          <t>Hybrid SSM (long ctx)</t>
        </is>
      </c>
      <c r="H208" s="13" t="inlineStr">
        <is>
          <t>Amazon Bedrock (Kiro)</t>
        </is>
      </c>
      <c r="I208" s="13" t="inlineStr">
        <is>
          <t>Aggregator</t>
        </is>
      </c>
      <c r="J208" s="13" t="inlineStr">
        <is>
          <t>Installed; login unverified</t>
        </is>
      </c>
      <c r="K208" s="13" t="inlineStr">
        <is>
          <t>metered (not configured)</t>
        </is>
      </c>
      <c r="L208" s="13" t="inlineStr">
        <is>
          <t>No</t>
        </is>
      </c>
      <c r="M208" s="13" t="n">
        <v>7</v>
      </c>
      <c r="N208" s="13" t="n">
        <v>6.4</v>
      </c>
      <c r="O208" s="13" t="n">
        <v>6.6</v>
      </c>
      <c r="P208" s="13" t="n">
        <v>6.8</v>
      </c>
      <c r="Q208" s="13">
        <f>IFERROR(ROUND(AVERAGE(M208:P208),1),"")</f>
        <v/>
      </c>
      <c r="R208" s="13" t="n">
        <v>6.6</v>
      </c>
      <c r="S208" s="13" t="n">
        <v>6</v>
      </c>
      <c r="T208" s="13" t="n">
        <v>6.2</v>
      </c>
      <c r="U208" s="13" t="n">
        <v>6.6</v>
      </c>
      <c r="V208" s="13">
        <f>IFERROR(ROUND(AVERAGE(R208:U208),1),"")</f>
        <v/>
      </c>
      <c r="W208" s="13" t="n">
        <v>6.8</v>
      </c>
      <c r="X208" s="13" t="n">
        <v>6.4</v>
      </c>
      <c r="Y208" s="13" t="n">
        <v>6</v>
      </c>
      <c r="Z208" s="13" t="n">
        <v>7</v>
      </c>
      <c r="AA208" s="13">
        <f>IFERROR(ROUND(AVERAGE(W208:Z208),1),"")</f>
        <v/>
      </c>
      <c r="AB208" s="13" t="n">
        <v>7</v>
      </c>
      <c r="AC208" s="13" t="n">
        <v>7</v>
      </c>
      <c r="AD208" s="13" t="n">
        <v>7</v>
      </c>
      <c r="AE208" s="13" t="n">
        <v>7.2</v>
      </c>
      <c r="AF208" s="13">
        <f>IFERROR(ROUND(AVERAGE(AB208:AE208),1),"")</f>
        <v/>
      </c>
      <c r="AG208" s="13" t="n">
        <v>6.6</v>
      </c>
      <c r="AH208" s="13" t="n">
        <v>6</v>
      </c>
      <c r="AI208" s="13" t="n">
        <v>7</v>
      </c>
      <c r="AJ208" s="13" t="n">
        <v>6.8</v>
      </c>
      <c r="AK208" s="13">
        <f>IFERROR(ROUND(AVERAGE(AG208:AJ208),1),"")</f>
        <v/>
      </c>
      <c r="AL208" s="13" t="inlineStr"/>
      <c r="AM208" s="13" t="inlineStr"/>
      <c r="AN208" s="13" t="inlineStr"/>
      <c r="AO208" s="13">
        <f>IFERROR(ROUND(AVERAGE(AL208:AN208),1),"")</f>
        <v/>
      </c>
      <c r="AP208" s="13" t="n">
        <v>8</v>
      </c>
      <c r="AQ208" s="13" t="n">
        <v>8</v>
      </c>
      <c r="AR208" s="13" t="n">
        <v>9</v>
      </c>
      <c r="AS208" s="13" t="n">
        <v>7.5</v>
      </c>
      <c r="AT208" s="13">
        <f>IFERROR(ROUND(AVERAGE(AP208:AS208),1),"")</f>
        <v/>
      </c>
      <c r="AU208" s="13" t="n">
        <v>6.8</v>
      </c>
      <c r="AV208" s="13" t="n">
        <v>7</v>
      </c>
      <c r="AW208" s="13" t="n">
        <v>7.2</v>
      </c>
      <c r="AX208" s="13" t="n">
        <v>6.8</v>
      </c>
      <c r="AY208" s="13">
        <f>IFERROR(ROUND(AVERAGE(AU208:AX208),1),"")</f>
        <v/>
      </c>
      <c r="AZ208" s="13">
        <f>ROUND(0.19*N(Q208)+0.17*N(V208)+0.17*N(AA208)+0.1*N(AF208)+0.09*N(AK208)+0.12*N(AT208)+0.16*N(AY208),1)</f>
        <v/>
      </c>
      <c r="BA208" s="13" t="inlineStr">
        <is>
          <t>256K</t>
        </is>
      </c>
      <c r="BB208" s="13" t="n"/>
      <c r="BC208" s="13" t="inlineStr"/>
      <c r="BD208" s="13" t="inlineStr"/>
      <c r="BE208" s="13" t="inlineStr">
        <is>
          <t>high</t>
        </is>
      </c>
      <c r="BF208" s="13" t="n">
        <v>3</v>
      </c>
      <c r="BG208" s="13" t="n">
        <v>3</v>
      </c>
      <c r="BH208" s="13" t="inlineStr">
        <is>
          <t>Hybrid Mamba-Transformer, very long context</t>
        </is>
      </c>
      <c r="BI208" s="13" t="inlineStr"/>
      <c r="BJ208" s="16" t="inlineStr">
        <is>
          <t>L</t>
        </is>
      </c>
      <c r="BK208" s="13" t="inlineStr">
        <is>
          <t>Jamba via Bedrock; family-inherited estimate (scaled from flagship); verify before HIGH-stakes routing</t>
        </is>
      </c>
      <c r="BL208" s="13" t="inlineStr">
        <is>
          <t>2026-06-07</t>
        </is>
      </c>
    </row>
    <row r="209">
      <c r="A209" s="13" t="inlineStr">
        <is>
          <t>writer.palmyra-x5-v1:0</t>
        </is>
      </c>
      <c r="B209" s="13" t="inlineStr">
        <is>
          <t>Palmyra X5</t>
        </is>
      </c>
      <c r="C209" s="13" t="inlineStr">
        <is>
          <t>Writer</t>
        </is>
      </c>
      <c r="D209" s="13" t="inlineStr">
        <is>
          <t>Palmyra</t>
        </is>
      </c>
      <c r="E209" s="13" t="inlineStr">
        <is>
          <t>x5</t>
        </is>
      </c>
      <c r="F209" s="13" t="inlineStr">
        <is>
          <t>Current</t>
        </is>
      </c>
      <c r="G209" s="13" t="inlineStr">
        <is>
          <t>Enterprise Writing</t>
        </is>
      </c>
      <c r="H209" s="13" t="inlineStr">
        <is>
          <t>Amazon Bedrock (Kiro)</t>
        </is>
      </c>
      <c r="I209" s="13" t="inlineStr">
        <is>
          <t>Aggregator</t>
        </is>
      </c>
      <c r="J209" s="13" t="inlineStr">
        <is>
          <t>Installed; login unverified</t>
        </is>
      </c>
      <c r="K209" s="13" t="inlineStr">
        <is>
          <t>metered (not configured)</t>
        </is>
      </c>
      <c r="L209" s="13" t="inlineStr">
        <is>
          <t>No</t>
        </is>
      </c>
      <c r="M209" s="13" t="n">
        <v>7.4</v>
      </c>
      <c r="N209" s="13" t="n">
        <v>6.8</v>
      </c>
      <c r="O209" s="13" t="n">
        <v>7</v>
      </c>
      <c r="P209" s="13" t="n">
        <v>7.2</v>
      </c>
      <c r="Q209" s="13">
        <f>IFERROR(ROUND(AVERAGE(M209:P209),1),"")</f>
        <v/>
      </c>
      <c r="R209" s="13" t="n">
        <v>6.8</v>
      </c>
      <c r="S209" s="13" t="n">
        <v>6.2</v>
      </c>
      <c r="T209" s="13" t="n">
        <v>6.4</v>
      </c>
      <c r="U209" s="13" t="n">
        <v>6.8</v>
      </c>
      <c r="V209" s="13">
        <f>IFERROR(ROUND(AVERAGE(R209:U209),1),"")</f>
        <v/>
      </c>
      <c r="W209" s="13" t="n">
        <v>7.2</v>
      </c>
      <c r="X209" s="13" t="n">
        <v>6.8</v>
      </c>
      <c r="Y209" s="13" t="n">
        <v>6.4</v>
      </c>
      <c r="Z209" s="13" t="n">
        <v>7.4</v>
      </c>
      <c r="AA209" s="13">
        <f>IFERROR(ROUND(AVERAGE(W209:Z209),1),"")</f>
        <v/>
      </c>
      <c r="AB209" s="13" t="n">
        <v>8</v>
      </c>
      <c r="AC209" s="13" t="n">
        <v>8.199999999999999</v>
      </c>
      <c r="AD209" s="13" t="n">
        <v>8</v>
      </c>
      <c r="AE209" s="13" t="n">
        <v>7.6</v>
      </c>
      <c r="AF209" s="13">
        <f>IFERROR(ROUND(AVERAGE(AB209:AE209),1),"")</f>
        <v/>
      </c>
      <c r="AG209" s="13" t="n">
        <v>7</v>
      </c>
      <c r="AH209" s="13" t="n">
        <v>6.4</v>
      </c>
      <c r="AI209" s="13" t="n">
        <v>7.2</v>
      </c>
      <c r="AJ209" s="13" t="n">
        <v>7</v>
      </c>
      <c r="AK209" s="13">
        <f>IFERROR(ROUND(AVERAGE(AG209:AJ209),1),"")</f>
        <v/>
      </c>
      <c r="AL209" s="13" t="inlineStr"/>
      <c r="AM209" s="13" t="inlineStr"/>
      <c r="AN209" s="13" t="inlineStr"/>
      <c r="AO209" s="13">
        <f>IFERROR(ROUND(AVERAGE(AL209:AN209),1),"")</f>
        <v/>
      </c>
      <c r="AP209" s="13" t="n">
        <v>8</v>
      </c>
      <c r="AQ209" s="13" t="n">
        <v>8</v>
      </c>
      <c r="AR209" s="13" t="n">
        <v>7</v>
      </c>
      <c r="AS209" s="13" t="n">
        <v>7.5</v>
      </c>
      <c r="AT209" s="13">
        <f>IFERROR(ROUND(AVERAGE(AP209:AS209),1),"")</f>
        <v/>
      </c>
      <c r="AU209" s="13" t="n">
        <v>7.4</v>
      </c>
      <c r="AV209" s="13" t="n">
        <v>7.4</v>
      </c>
      <c r="AW209" s="13" t="n">
        <v>7.6</v>
      </c>
      <c r="AX209" s="13" t="n">
        <v>7.4</v>
      </c>
      <c r="AY209" s="13">
        <f>IFERROR(ROUND(AVERAGE(AU209:AX209),1),"")</f>
        <v/>
      </c>
      <c r="AZ209" s="13">
        <f>ROUND(0.19*N(Q209)+0.17*N(V209)+0.17*N(AA209)+0.1*N(AF209)+0.09*N(AK209)+0.12*N(AT209)+0.16*N(AY209),1)</f>
        <v/>
      </c>
      <c r="BA209" s="13" t="inlineStr">
        <is>
          <t>128K</t>
        </is>
      </c>
      <c r="BB209" s="13" t="n"/>
      <c r="BC209" s="13" t="inlineStr"/>
      <c r="BD209" s="13" t="inlineStr"/>
      <c r="BE209" s="13" t="inlineStr">
        <is>
          <t>high</t>
        </is>
      </c>
      <c r="BF209" s="13" t="n">
        <v>4</v>
      </c>
      <c r="BG209" s="13" t="n">
        <v>4</v>
      </c>
      <c r="BH209" s="13" t="inlineStr">
        <is>
          <t>Enterprise content/writing workflows</t>
        </is>
      </c>
      <c r="BI209" s="13" t="inlineStr">
        <is>
          <t>Hard reasoning/coding</t>
        </is>
      </c>
      <c r="BJ209" s="16" t="inlineStr">
        <is>
          <t>L</t>
        </is>
      </c>
      <c r="BK209" s="13" t="inlineStr">
        <is>
          <t>Palmyra via Bedrock; family-inherited estimate (scaled from flagship); verify before HIGH-stakes routing</t>
        </is>
      </c>
      <c r="BL209" s="13" t="inlineStr">
        <is>
          <t>2026-06-07</t>
        </is>
      </c>
    </row>
    <row r="210">
      <c r="A210" s="13" t="inlineStr">
        <is>
          <t>qwen3-coder-next:cloud</t>
        </is>
      </c>
      <c r="B210" s="13" t="inlineStr">
        <is>
          <t>Qwen3 Coder Next (cloud)</t>
        </is>
      </c>
      <c r="C210" s="13" t="inlineStr">
        <is>
          <t>Alibaba</t>
        </is>
      </c>
      <c r="D210" s="13" t="inlineStr">
        <is>
          <t>Qwen Coder</t>
        </is>
      </c>
      <c r="E210" s="13" t="inlineStr">
        <is>
          <t>next</t>
        </is>
      </c>
      <c r="F210" s="13" t="inlineStr">
        <is>
          <t>Current</t>
        </is>
      </c>
      <c r="G210" s="13" t="inlineStr">
        <is>
          <t>Coder (cloud-relay)</t>
        </is>
      </c>
      <c r="H210" s="13" t="inlineStr">
        <is>
          <t>Ollama Cloud</t>
        </is>
      </c>
      <c r="I210" s="13" t="inlineStr">
        <is>
          <t>Aggregator</t>
        </is>
      </c>
      <c r="J210" s="13" t="inlineStr">
        <is>
          <t>Keyed + usage-tracked</t>
        </is>
      </c>
      <c r="K210" s="13" t="inlineStr">
        <is>
          <t>metered (tracked)</t>
        </is>
      </c>
      <c r="L210" s="13" t="inlineStr">
        <is>
          <t>No</t>
        </is>
      </c>
      <c r="M210" s="13" t="n">
        <v>7.6</v>
      </c>
      <c r="N210" s="13" t="n">
        <v>7.2</v>
      </c>
      <c r="O210" s="13" t="n">
        <v>7.2</v>
      </c>
      <c r="P210" s="13" t="n">
        <v>7.4</v>
      </c>
      <c r="Q210" s="13">
        <f>IFERROR(ROUND(AVERAGE(M210:P210),1),"")</f>
        <v/>
      </c>
      <c r="R210" s="13" t="n">
        <v>8.4</v>
      </c>
      <c r="S210" s="13" t="n">
        <v>8</v>
      </c>
      <c r="T210" s="13" t="n">
        <v>8.199999999999999</v>
      </c>
      <c r="U210" s="13" t="n">
        <v>8.4</v>
      </c>
      <c r="V210" s="13">
        <f>IFERROR(ROUND(AVERAGE(R210:U210),1),"")</f>
        <v/>
      </c>
      <c r="W210" s="13" t="n">
        <v>8.199999999999999</v>
      </c>
      <c r="X210" s="13" t="n">
        <v>8</v>
      </c>
      <c r="Y210" s="13" t="n">
        <v>7.4</v>
      </c>
      <c r="Z210" s="13" t="n">
        <v>8</v>
      </c>
      <c r="AA210" s="13">
        <f>IFERROR(ROUND(AVERAGE(W210:Z210),1),"")</f>
        <v/>
      </c>
      <c r="AB210" s="13" t="n">
        <v>7.2</v>
      </c>
      <c r="AC210" s="13" t="n">
        <v>7.4</v>
      </c>
      <c r="AD210" s="13" t="n">
        <v>7.2</v>
      </c>
      <c r="AE210" s="13" t="n">
        <v>7.4</v>
      </c>
      <c r="AF210" s="13">
        <f>IFERROR(ROUND(AVERAGE(AB210:AE210),1),"")</f>
        <v/>
      </c>
      <c r="AG210" s="13" t="n">
        <v>7.4</v>
      </c>
      <c r="AH210" s="13" t="n">
        <v>6.8</v>
      </c>
      <c r="AI210" s="13" t="n">
        <v>7.8</v>
      </c>
      <c r="AJ210" s="13" t="n">
        <v>7.8</v>
      </c>
      <c r="AK210" s="13">
        <f>IFERROR(ROUND(AVERAGE(AG210:AJ210),1),"")</f>
        <v/>
      </c>
      <c r="AL210" s="13" t="inlineStr"/>
      <c r="AM210" s="13" t="inlineStr"/>
      <c r="AN210" s="13" t="inlineStr"/>
      <c r="AO210" s="13">
        <f>IFERROR(ROUND(AVERAGE(AL210:AN210),1),"")</f>
        <v/>
      </c>
      <c r="AP210" s="13" t="n">
        <v>7.8</v>
      </c>
      <c r="AQ210" s="13" t="n">
        <v>7.8</v>
      </c>
      <c r="AR210" s="13" t="n">
        <v>9</v>
      </c>
      <c r="AS210" s="13" t="n">
        <v>8.800000000000001</v>
      </c>
      <c r="AT210" s="13">
        <f>IFERROR(ROUND(AVERAGE(AP210:AS210),1),"")</f>
        <v/>
      </c>
      <c r="AU210" s="13" t="n">
        <v>7.4</v>
      </c>
      <c r="AV210" s="13" t="n">
        <v>7.6</v>
      </c>
      <c r="AW210" s="13" t="n">
        <v>7.4</v>
      </c>
      <c r="AX210" s="13" t="n">
        <v>7.4</v>
      </c>
      <c r="AY210" s="13">
        <f>IFERROR(ROUND(AVERAGE(AU210:AX210),1),"")</f>
        <v/>
      </c>
      <c r="AZ210" s="13">
        <f>ROUND(0.19*N(Q210)+0.17*N(V210)+0.17*N(AA210)+0.1*N(AF210)+0.09*N(AK210)+0.12*N(AT210)+0.16*N(AY210),1)</f>
        <v/>
      </c>
      <c r="BA210" s="13" t="inlineStr">
        <is>
          <t>256K</t>
        </is>
      </c>
      <c r="BB210" s="13" t="n"/>
      <c r="BC210" s="13" t="inlineStr"/>
      <c r="BD210" s="13" t="inlineStr"/>
      <c r="BE210" s="13" t="inlineStr">
        <is>
          <t>high</t>
        </is>
      </c>
      <c r="BF210" s="13" t="n">
        <v>4</v>
      </c>
      <c r="BG210" s="13" t="n">
        <v>4</v>
      </c>
      <c r="BH210" s="13" t="inlineStr">
        <is>
          <t>Agentic coding via Ollama Cloud (tracked)</t>
        </is>
      </c>
      <c r="BI210" s="13" t="inlineStr">
        <is>
          <t>Non-coding</t>
        </is>
      </c>
      <c r="BJ210" s="15" t="inlineStr">
        <is>
          <t>M</t>
        </is>
      </c>
      <c r="BK210" s="13" t="inlineStr">
        <is>
          <t>Routed through 11435 tracker; family-inherited estimate (scaled from flagship); verify before HIGH-stakes routing</t>
        </is>
      </c>
      <c r="BL210" s="13" t="inlineStr">
        <is>
          <t>2026-06-07</t>
        </is>
      </c>
    </row>
    <row r="211">
      <c r="A211" s="13" t="inlineStr">
        <is>
          <t>qwen3.5:9b</t>
        </is>
      </c>
      <c r="B211" s="13" t="inlineStr">
        <is>
          <t>Qwen3.5 9B (local)</t>
        </is>
      </c>
      <c r="C211" s="13" t="inlineStr">
        <is>
          <t>Alibaba</t>
        </is>
      </c>
      <c r="D211" s="13" t="inlineStr">
        <is>
          <t>Qwen3.5</t>
        </is>
      </c>
      <c r="E211" s="13" t="inlineStr">
        <is>
          <t>9b</t>
        </is>
      </c>
      <c r="F211" s="13" t="inlineStr">
        <is>
          <t>Current (local)</t>
        </is>
      </c>
      <c r="G211" s="13" t="inlineStr">
        <is>
          <t>Local General</t>
        </is>
      </c>
      <c r="H211" s="13" t="inlineStr">
        <is>
          <t>Ollama (local)</t>
        </is>
      </c>
      <c r="I211" s="13" t="inlineStr">
        <is>
          <t>Local</t>
        </is>
      </c>
      <c r="J211" s="13" t="inlineStr">
        <is>
          <t>Running (free)</t>
        </is>
      </c>
      <c r="K211" s="13" t="inlineStr">
        <is>
          <t>local_free</t>
        </is>
      </c>
      <c r="L211" s="13" t="inlineStr">
        <is>
          <t>Yes</t>
        </is>
      </c>
      <c r="M211" s="13" t="n">
        <v>6.6</v>
      </c>
      <c r="N211" s="13" t="n">
        <v>6.2</v>
      </c>
      <c r="O211" s="13" t="n">
        <v>5.8</v>
      </c>
      <c r="P211" s="13" t="n">
        <v>6.2</v>
      </c>
      <c r="Q211" s="13">
        <f>IFERROR(ROUND(AVERAGE(M211:P211),1),"")</f>
        <v/>
      </c>
      <c r="R211" s="13" t="n">
        <v>6.4</v>
      </c>
      <c r="S211" s="13" t="n">
        <v>5.6</v>
      </c>
      <c r="T211" s="13" t="n">
        <v>5.8</v>
      </c>
      <c r="U211" s="13" t="n">
        <v>6.2</v>
      </c>
      <c r="V211" s="13">
        <f>IFERROR(ROUND(AVERAGE(R211:U211),1),"")</f>
        <v/>
      </c>
      <c r="W211" s="13" t="n">
        <v>6.2</v>
      </c>
      <c r="X211" s="13" t="n">
        <v>5.8</v>
      </c>
      <c r="Y211" s="13" t="n">
        <v>5</v>
      </c>
      <c r="Z211" s="13" t="n">
        <v>6.4</v>
      </c>
      <c r="AA211" s="13">
        <f>IFERROR(ROUND(AVERAGE(W211:Z211),1),"")</f>
        <v/>
      </c>
      <c r="AB211" s="13" t="n">
        <v>6.4</v>
      </c>
      <c r="AC211" s="13" t="n">
        <v>6.4</v>
      </c>
      <c r="AD211" s="13" t="n">
        <v>6.2</v>
      </c>
      <c r="AE211" s="13" t="n">
        <v>6.8</v>
      </c>
      <c r="AF211" s="13">
        <f>IFERROR(ROUND(AVERAGE(AB211:AE211),1),"")</f>
        <v/>
      </c>
      <c r="AG211" s="13" t="n">
        <v>6</v>
      </c>
      <c r="AH211" s="13" t="n">
        <v>5.4</v>
      </c>
      <c r="AI211" s="13" t="n">
        <v>6.4</v>
      </c>
      <c r="AJ211" s="13" t="n">
        <v>6.2</v>
      </c>
      <c r="AK211" s="13">
        <f>IFERROR(ROUND(AVERAGE(AG211:AJ211),1),"")</f>
        <v/>
      </c>
      <c r="AL211" s="13" t="inlineStr"/>
      <c r="AM211" s="13" t="inlineStr"/>
      <c r="AN211" s="13" t="inlineStr"/>
      <c r="AO211" s="13">
        <f>IFERROR(ROUND(AVERAGE(AL211:AN211),1),"")</f>
        <v/>
      </c>
      <c r="AP211" s="13" t="n">
        <v>8</v>
      </c>
      <c r="AQ211" s="13" t="n">
        <v>7.5</v>
      </c>
      <c r="AR211" s="13" t="n">
        <v>5</v>
      </c>
      <c r="AS211" s="13" t="n">
        <v>9.800000000000001</v>
      </c>
      <c r="AT211" s="13">
        <f>IFERROR(ROUND(AVERAGE(AP211:AS211),1),"")</f>
        <v/>
      </c>
      <c r="AU211" s="13" t="n">
        <v>6.4</v>
      </c>
      <c r="AV211" s="13" t="n">
        <v>6.6</v>
      </c>
      <c r="AW211" s="13" t="n">
        <v>6.6</v>
      </c>
      <c r="AX211" s="13" t="n">
        <v>6.4</v>
      </c>
      <c r="AY211" s="13">
        <f>IFERROR(ROUND(AVERAGE(AU211:AX211),1),"")</f>
        <v/>
      </c>
      <c r="AZ211" s="13">
        <f>ROUND(0.19*N(Q211)+0.17*N(V211)+0.17*N(AA211)+0.1*N(AF211)+0.09*N(AK211)+0.12*N(AT211)+0.16*N(AY211),1)</f>
        <v/>
      </c>
      <c r="BA211" s="13" t="inlineStr">
        <is>
          <t>128K</t>
        </is>
      </c>
      <c r="BB211" s="13" t="n"/>
      <c r="BC211" s="13" t="inlineStr"/>
      <c r="BD211" s="13" t="inlineStr"/>
      <c r="BE211" s="13" t="inlineStr">
        <is>
          <t>medium</t>
        </is>
      </c>
      <c r="BF211" s="13" t="n">
        <v>3</v>
      </c>
      <c r="BG211" s="13" t="n">
        <v>3</v>
      </c>
      <c r="BH211" s="13" t="inlineStr">
        <is>
          <t>Best local general model on Dell; offline/free</t>
        </is>
      </c>
      <c r="BI211" s="13" t="inlineStr">
        <is>
          <t>Large-context, hard reasoning</t>
        </is>
      </c>
      <c r="BJ211" s="16" t="inlineStr">
        <is>
          <t>L</t>
        </is>
      </c>
      <c r="BK211" s="13" t="inlineStr">
        <is>
          <t>Local Ollama qwen3.5:9b; GPQA-strong family (9B ~81.7 reported); family-inherited estimate (scaled from flagship); verify before HIGH-stakes routing</t>
        </is>
      </c>
      <c r="BL211" s="13" t="inlineStr">
        <is>
          <t>2026-06-07</t>
        </is>
      </c>
    </row>
    <row r="212">
      <c r="A212" s="13" t="inlineStr">
        <is>
          <t>qwen3:8b</t>
        </is>
      </c>
      <c r="B212" s="13" t="inlineStr">
        <is>
          <t>Qwen3 8B (local)</t>
        </is>
      </c>
      <c r="C212" s="13" t="inlineStr">
        <is>
          <t>Alibaba</t>
        </is>
      </c>
      <c r="D212" s="13" t="inlineStr">
        <is>
          <t>Qwen3</t>
        </is>
      </c>
      <c r="E212" s="13" t="inlineStr">
        <is>
          <t>8b</t>
        </is>
      </c>
      <c r="F212" s="13" t="inlineStr">
        <is>
          <t>Current (local)</t>
        </is>
      </c>
      <c r="G212" s="13" t="inlineStr">
        <is>
          <t>Local General</t>
        </is>
      </c>
      <c r="H212" s="13" t="inlineStr">
        <is>
          <t>Ollama (local)</t>
        </is>
      </c>
      <c r="I212" s="13" t="inlineStr">
        <is>
          <t>Local</t>
        </is>
      </c>
      <c r="J212" s="13" t="inlineStr">
        <is>
          <t>Running (free)</t>
        </is>
      </c>
      <c r="K212" s="13" t="inlineStr">
        <is>
          <t>local_free</t>
        </is>
      </c>
      <c r="L212" s="13" t="inlineStr">
        <is>
          <t>Yes</t>
        </is>
      </c>
      <c r="M212" s="13" t="n">
        <v>6.2</v>
      </c>
      <c r="N212" s="13" t="n">
        <v>5.8</v>
      </c>
      <c r="O212" s="13" t="n">
        <v>5.4</v>
      </c>
      <c r="P212" s="13" t="n">
        <v>6</v>
      </c>
      <c r="Q212" s="13">
        <f>IFERROR(ROUND(AVERAGE(M212:P212),1),"")</f>
        <v/>
      </c>
      <c r="R212" s="13" t="n">
        <v>6</v>
      </c>
      <c r="S212" s="13" t="n">
        <v>5.2</v>
      </c>
      <c r="T212" s="13" t="n">
        <v>5.4</v>
      </c>
      <c r="U212" s="13" t="n">
        <v>6</v>
      </c>
      <c r="V212" s="13">
        <f>IFERROR(ROUND(AVERAGE(R212:U212),1),"")</f>
        <v/>
      </c>
      <c r="W212" s="13" t="n">
        <v>6</v>
      </c>
      <c r="X212" s="13" t="n">
        <v>5.6</v>
      </c>
      <c r="Y212" s="13" t="n">
        <v>4.8</v>
      </c>
      <c r="Z212" s="13" t="n">
        <v>6.2</v>
      </c>
      <c r="AA212" s="13">
        <f>IFERROR(ROUND(AVERAGE(W212:Z212),1),"")</f>
        <v/>
      </c>
      <c r="AB212" s="13" t="n">
        <v>6.2</v>
      </c>
      <c r="AC212" s="13" t="n">
        <v>6.2</v>
      </c>
      <c r="AD212" s="13" t="n">
        <v>6</v>
      </c>
      <c r="AE212" s="13" t="n">
        <v>6.6</v>
      </c>
      <c r="AF212" s="13">
        <f>IFERROR(ROUND(AVERAGE(AB212:AE212),1),"")</f>
        <v/>
      </c>
      <c r="AG212" s="13" t="n">
        <v>5.8</v>
      </c>
      <c r="AH212" s="13" t="n">
        <v>5.2</v>
      </c>
      <c r="AI212" s="13" t="n">
        <v>6.2</v>
      </c>
      <c r="AJ212" s="13" t="n">
        <v>6</v>
      </c>
      <c r="AK212" s="13">
        <f>IFERROR(ROUND(AVERAGE(AG212:AJ212),1),"")</f>
        <v/>
      </c>
      <c r="AL212" s="13" t="inlineStr"/>
      <c r="AM212" s="13" t="inlineStr"/>
      <c r="AN212" s="13" t="inlineStr"/>
      <c r="AO212" s="13">
        <f>IFERROR(ROUND(AVERAGE(AL212:AN212),1),"")</f>
        <v/>
      </c>
      <c r="AP212" s="13" t="n">
        <v>8.199999999999999</v>
      </c>
      <c r="AQ212" s="13" t="n">
        <v>7.8</v>
      </c>
      <c r="AR212" s="13" t="n">
        <v>5</v>
      </c>
      <c r="AS212" s="13" t="n">
        <v>9.800000000000001</v>
      </c>
      <c r="AT212" s="13">
        <f>IFERROR(ROUND(AVERAGE(AP212:AS212),1),"")</f>
        <v/>
      </c>
      <c r="AU212" s="13" t="n">
        <v>6.2</v>
      </c>
      <c r="AV212" s="13" t="n">
        <v>6.4</v>
      </c>
      <c r="AW212" s="13" t="n">
        <v>6.4</v>
      </c>
      <c r="AX212" s="13" t="n">
        <v>6.2</v>
      </c>
      <c r="AY212" s="13">
        <f>IFERROR(ROUND(AVERAGE(AU212:AX212),1),"")</f>
        <v/>
      </c>
      <c r="AZ212" s="13">
        <f>ROUND(0.19*N(Q212)+0.17*N(V212)+0.17*N(AA212)+0.1*N(AF212)+0.09*N(AK212)+0.12*N(AT212)+0.16*N(AY212),1)</f>
        <v/>
      </c>
      <c r="BA212" s="13" t="inlineStr">
        <is>
          <t>128K</t>
        </is>
      </c>
      <c r="BB212" s="13" t="n"/>
      <c r="BC212" s="13" t="inlineStr"/>
      <c r="BD212" s="13" t="inlineStr"/>
      <c r="BE212" s="13" t="inlineStr">
        <is>
          <t>low</t>
        </is>
      </c>
      <c r="BF212" s="13" t="n">
        <v>3</v>
      </c>
      <c r="BG212" s="13" t="n">
        <v>3</v>
      </c>
      <c r="BH212" s="13" t="inlineStr">
        <is>
          <t>Local general fallback; offline/free</t>
        </is>
      </c>
      <c r="BI212" s="13" t="inlineStr"/>
      <c r="BJ212" s="16" t="inlineStr">
        <is>
          <t>L</t>
        </is>
      </c>
      <c r="BK212" s="13" t="inlineStr">
        <is>
          <t>Local Ollama qwen3:8b; family-inherited estimate (scaled from flagship); verify before HIGH-stakes routing</t>
        </is>
      </c>
      <c r="BL212" s="13" t="inlineStr">
        <is>
          <t>2026-06-07</t>
        </is>
      </c>
    </row>
    <row r="213">
      <c r="A213" s="13" t="inlineStr">
        <is>
          <t>deepseek-r1:8b</t>
        </is>
      </c>
      <c r="B213" s="13" t="inlineStr">
        <is>
          <t>DeepSeek R1 8B (local)</t>
        </is>
      </c>
      <c r="C213" s="13" t="inlineStr">
        <is>
          <t>DeepSeek</t>
        </is>
      </c>
      <c r="D213" s="13" t="inlineStr">
        <is>
          <t>DeepSeek R1 distill</t>
        </is>
      </c>
      <c r="E213" s="13" t="inlineStr">
        <is>
          <t>8b</t>
        </is>
      </c>
      <c r="F213" s="13" t="inlineStr">
        <is>
          <t>Current (local)</t>
        </is>
      </c>
      <c r="G213" s="13" t="inlineStr">
        <is>
          <t>Local Reasoning</t>
        </is>
      </c>
      <c r="H213" s="13" t="inlineStr">
        <is>
          <t>Ollama (local)</t>
        </is>
      </c>
      <c r="I213" s="13" t="inlineStr">
        <is>
          <t>Local</t>
        </is>
      </c>
      <c r="J213" s="13" t="inlineStr">
        <is>
          <t>Running (free)</t>
        </is>
      </c>
      <c r="K213" s="13" t="inlineStr">
        <is>
          <t>local_free</t>
        </is>
      </c>
      <c r="L213" s="13" t="inlineStr">
        <is>
          <t>Yes</t>
        </is>
      </c>
      <c r="M213" s="13" t="n">
        <v>6.8</v>
      </c>
      <c r="N213" s="13" t="n">
        <v>7</v>
      </c>
      <c r="O213" s="13" t="n">
        <v>5.6</v>
      </c>
      <c r="P213" s="13" t="n">
        <v>5.8</v>
      </c>
      <c r="Q213" s="13">
        <f>IFERROR(ROUND(AVERAGE(M213:P213),1),"")</f>
        <v/>
      </c>
      <c r="R213" s="13" t="n">
        <v>6</v>
      </c>
      <c r="S213" s="13" t="n">
        <v>5.4</v>
      </c>
      <c r="T213" s="13" t="n">
        <v>5.4</v>
      </c>
      <c r="U213" s="13" t="n">
        <v>6</v>
      </c>
      <c r="V213" s="13">
        <f>IFERROR(ROUND(AVERAGE(R213:U213),1),"")</f>
        <v/>
      </c>
      <c r="W213" s="13" t="n">
        <v>5.8</v>
      </c>
      <c r="X213" s="13" t="n">
        <v>5.6</v>
      </c>
      <c r="Y213" s="13" t="n">
        <v>4.6</v>
      </c>
      <c r="Z213" s="13" t="n">
        <v>6</v>
      </c>
      <c r="AA213" s="13">
        <f>IFERROR(ROUND(AVERAGE(W213:Z213),1),"")</f>
        <v/>
      </c>
      <c r="AB213" s="13" t="n">
        <v>6</v>
      </c>
      <c r="AC213" s="13" t="n">
        <v>6</v>
      </c>
      <c r="AD213" s="13" t="n">
        <v>5.8</v>
      </c>
      <c r="AE213" s="13" t="n">
        <v>6</v>
      </c>
      <c r="AF213" s="13">
        <f>IFERROR(ROUND(AVERAGE(AB213:AE213),1),"")</f>
        <v/>
      </c>
      <c r="AG213" s="13" t="n">
        <v>6</v>
      </c>
      <c r="AH213" s="13" t="n">
        <v>5.6</v>
      </c>
      <c r="AI213" s="13" t="n">
        <v>6</v>
      </c>
      <c r="AJ213" s="13" t="n">
        <v>6.4</v>
      </c>
      <c r="AK213" s="13">
        <f>IFERROR(ROUND(AVERAGE(AG213:AJ213),1),"")</f>
        <v/>
      </c>
      <c r="AL213" s="13" t="inlineStr"/>
      <c r="AM213" s="13" t="inlineStr"/>
      <c r="AN213" s="13" t="inlineStr"/>
      <c r="AO213" s="13">
        <f>IFERROR(ROUND(AVERAGE(AL213:AN213),1),"")</f>
        <v/>
      </c>
      <c r="AP213" s="13" t="n">
        <v>7.5</v>
      </c>
      <c r="AQ213" s="13" t="n">
        <v>7</v>
      </c>
      <c r="AR213" s="13" t="n">
        <v>5</v>
      </c>
      <c r="AS213" s="13" t="n">
        <v>9.800000000000001</v>
      </c>
      <c r="AT213" s="13">
        <f>IFERROR(ROUND(AVERAGE(AP213:AS213),1),"")</f>
        <v/>
      </c>
      <c r="AU213" s="13" t="n">
        <v>6</v>
      </c>
      <c r="AV213" s="13" t="n">
        <v>6.2</v>
      </c>
      <c r="AW213" s="13" t="n">
        <v>6</v>
      </c>
      <c r="AX213" s="13" t="n">
        <v>6</v>
      </c>
      <c r="AY213" s="13">
        <f>IFERROR(ROUND(AVERAGE(AU213:AX213),1),"")</f>
        <v/>
      </c>
      <c r="AZ213" s="13">
        <f>ROUND(0.19*N(Q213)+0.17*N(V213)+0.17*N(AA213)+0.1*N(AF213)+0.09*N(AK213)+0.12*N(AT213)+0.16*N(AY213),1)</f>
        <v/>
      </c>
      <c r="BA213" s="13" t="inlineStr">
        <is>
          <t>128K</t>
        </is>
      </c>
      <c r="BB213" s="13" t="n"/>
      <c r="BC213" s="13" t="inlineStr"/>
      <c r="BD213" s="13" t="inlineStr"/>
      <c r="BE213" s="13" t="inlineStr">
        <is>
          <t>low</t>
        </is>
      </c>
      <c r="BF213" s="13" t="n">
        <v>3</v>
      </c>
      <c r="BG213" s="13" t="n">
        <v>3</v>
      </c>
      <c r="BH213" s="13" t="inlineStr">
        <is>
          <t>Local step-by-step reasoning; offline/free</t>
        </is>
      </c>
      <c r="BI213" s="13" t="inlineStr">
        <is>
          <t>Tool use, long horizon</t>
        </is>
      </c>
      <c r="BJ213" s="16" t="inlineStr">
        <is>
          <t>L</t>
        </is>
      </c>
      <c r="BK213" s="13" t="inlineStr">
        <is>
          <t>Local Ollama deepseek-r1:8b (distill); family-inherited estimate (scaled from flagship); verify before HIGH-stakes routing</t>
        </is>
      </c>
      <c r="BL213" s="13" t="inlineStr">
        <is>
          <t>2026-06-07</t>
        </is>
      </c>
    </row>
    <row r="214">
      <c r="A214" s="13" t="inlineStr">
        <is>
          <t>gemma4:e4b</t>
        </is>
      </c>
      <c r="B214" s="13" t="inlineStr">
        <is>
          <t>Gemma 4 E4B (local)</t>
        </is>
      </c>
      <c r="C214" s="13" t="inlineStr">
        <is>
          <t>Google</t>
        </is>
      </c>
      <c r="D214" s="13" t="inlineStr">
        <is>
          <t>Gemma 4</t>
        </is>
      </c>
      <c r="E214" s="13" t="inlineStr">
        <is>
          <t>e4b</t>
        </is>
      </c>
      <c r="F214" s="13" t="inlineStr">
        <is>
          <t>Current (local)</t>
        </is>
      </c>
      <c r="G214" s="13" t="inlineStr">
        <is>
          <t>Local General</t>
        </is>
      </c>
      <c r="H214" s="13" t="inlineStr">
        <is>
          <t>Ollama (local)</t>
        </is>
      </c>
      <c r="I214" s="13" t="inlineStr">
        <is>
          <t>Local</t>
        </is>
      </c>
      <c r="J214" s="13" t="inlineStr">
        <is>
          <t>Running (free)</t>
        </is>
      </c>
      <c r="K214" s="13" t="inlineStr">
        <is>
          <t>local_free</t>
        </is>
      </c>
      <c r="L214" s="13" t="inlineStr">
        <is>
          <t>Yes</t>
        </is>
      </c>
      <c r="M214" s="13" t="n">
        <v>6</v>
      </c>
      <c r="N214" s="13" t="n">
        <v>5.6</v>
      </c>
      <c r="O214" s="13" t="n">
        <v>5.2</v>
      </c>
      <c r="P214" s="13" t="n">
        <v>5.8</v>
      </c>
      <c r="Q214" s="13">
        <f>IFERROR(ROUND(AVERAGE(M214:P214),1),"")</f>
        <v/>
      </c>
      <c r="R214" s="13" t="n">
        <v>5.6</v>
      </c>
      <c r="S214" s="13" t="n">
        <v>5</v>
      </c>
      <c r="T214" s="13" t="n">
        <v>5.2</v>
      </c>
      <c r="U214" s="13" t="n">
        <v>5.6</v>
      </c>
      <c r="V214" s="13">
        <f>IFERROR(ROUND(AVERAGE(R214:U214),1),"")</f>
        <v/>
      </c>
      <c r="W214" s="13" t="n">
        <v>5.6</v>
      </c>
      <c r="X214" s="13" t="n">
        <v>5.2</v>
      </c>
      <c r="Y214" s="13" t="n">
        <v>4.6</v>
      </c>
      <c r="Z214" s="13" t="n">
        <v>5.8</v>
      </c>
      <c r="AA214" s="13">
        <f>IFERROR(ROUND(AVERAGE(W214:Z214),1),"")</f>
        <v/>
      </c>
      <c r="AB214" s="13" t="n">
        <v>6.2</v>
      </c>
      <c r="AC214" s="13" t="n">
        <v>6.2</v>
      </c>
      <c r="AD214" s="13" t="n">
        <v>6</v>
      </c>
      <c r="AE214" s="13" t="n">
        <v>6.4</v>
      </c>
      <c r="AF214" s="13">
        <f>IFERROR(ROUND(AVERAGE(AB214:AE214),1),"")</f>
        <v/>
      </c>
      <c r="AG214" s="13" t="n">
        <v>5.6</v>
      </c>
      <c r="AH214" s="13" t="n">
        <v>5</v>
      </c>
      <c r="AI214" s="13" t="n">
        <v>6</v>
      </c>
      <c r="AJ214" s="13" t="n">
        <v>5.8</v>
      </c>
      <c r="AK214" s="13">
        <f>IFERROR(ROUND(AVERAGE(AG214:AJ214),1),"")</f>
        <v/>
      </c>
      <c r="AL214" s="13" t="inlineStr"/>
      <c r="AM214" s="13" t="inlineStr"/>
      <c r="AN214" s="13" t="inlineStr"/>
      <c r="AO214" s="13">
        <f>IFERROR(ROUND(AVERAGE(AL214:AN214),1),"")</f>
        <v/>
      </c>
      <c r="AP214" s="13" t="n">
        <v>8.4</v>
      </c>
      <c r="AQ214" s="13" t="n">
        <v>8</v>
      </c>
      <c r="AR214" s="13" t="n">
        <v>4</v>
      </c>
      <c r="AS214" s="13" t="n">
        <v>9.800000000000001</v>
      </c>
      <c r="AT214" s="13">
        <f>IFERROR(ROUND(AVERAGE(AP214:AS214),1),"")</f>
        <v/>
      </c>
      <c r="AU214" s="13" t="n">
        <v>6.2</v>
      </c>
      <c r="AV214" s="13" t="n">
        <v>6.4</v>
      </c>
      <c r="AW214" s="13" t="n">
        <v>6.4</v>
      </c>
      <c r="AX214" s="13" t="n">
        <v>6.2</v>
      </c>
      <c r="AY214" s="13">
        <f>IFERROR(ROUND(AVERAGE(AU214:AX214),1),"")</f>
        <v/>
      </c>
      <c r="AZ214" s="13">
        <f>ROUND(0.19*N(Q214)+0.17*N(V214)+0.17*N(AA214)+0.1*N(AF214)+0.09*N(AK214)+0.12*N(AT214)+0.16*N(AY214),1)</f>
        <v/>
      </c>
      <c r="BA214" s="13" t="inlineStr">
        <is>
          <t>128K</t>
        </is>
      </c>
      <c r="BB214" s="13" t="n"/>
      <c r="BC214" s="13" t="inlineStr"/>
      <c r="BD214" s="13" t="inlineStr"/>
      <c r="BE214" s="13" t="inlineStr">
        <is>
          <t>low</t>
        </is>
      </c>
      <c r="BF214" s="13" t="n">
        <v>3</v>
      </c>
      <c r="BG214" s="13" t="n">
        <v>3</v>
      </c>
      <c r="BH214" s="13" t="inlineStr">
        <is>
          <t>Efficient local Google model; offline/free</t>
        </is>
      </c>
      <c r="BI214" s="13" t="inlineStr"/>
      <c r="BJ214" s="16" t="inlineStr">
        <is>
          <t>L</t>
        </is>
      </c>
      <c r="BK214" s="13" t="inlineStr">
        <is>
          <t>Local Ollama gemma4:e4b; family-inherited estimate (scaled from flagship); verify before HIGH-stakes routing</t>
        </is>
      </c>
      <c r="BL214" s="13" t="inlineStr">
        <is>
          <t>2026-06-07</t>
        </is>
      </c>
    </row>
    <row r="215">
      <c r="A215" s="13" t="inlineStr">
        <is>
          <t>gemma4:12b</t>
        </is>
      </c>
      <c r="B215" s="13" t="inlineStr">
        <is>
          <t>Gemma 4 12B (local QAT)</t>
        </is>
      </c>
      <c r="C215" s="13" t="inlineStr">
        <is>
          <t>Google</t>
        </is>
      </c>
      <c r="D215" s="13" t="inlineStr">
        <is>
          <t>Gemma 4</t>
        </is>
      </c>
      <c r="E215" s="13" t="inlineStr">
        <is>
          <t>12b-it-qat</t>
        </is>
      </c>
      <c r="F215" s="13" t="inlineStr">
        <is>
          <t>Current (local, QAT)</t>
        </is>
      </c>
      <c r="G215" s="13" t="inlineStr">
        <is>
          <t>Local Reasoning/Multimodal</t>
        </is>
      </c>
      <c r="H215" s="13" t="inlineStr">
        <is>
          <t>Ollama (local)</t>
        </is>
      </c>
      <c r="I215" s="13" t="inlineStr">
        <is>
          <t>Local</t>
        </is>
      </c>
      <c r="J215" s="13" t="inlineStr">
        <is>
          <t>Running (free)</t>
        </is>
      </c>
      <c r="K215" s="13" t="inlineStr">
        <is>
          <t>local_free</t>
        </is>
      </c>
      <c r="L215" s="13" t="inlineStr">
        <is>
          <t>Yes</t>
        </is>
      </c>
      <c r="M215" s="13" t="n">
        <v>7.7</v>
      </c>
      <c r="N215" s="13" t="n">
        <v>7.8</v>
      </c>
      <c r="O215" s="13" t="n">
        <v>7.4</v>
      </c>
      <c r="P215" s="13" t="n">
        <v>7.5</v>
      </c>
      <c r="Q215" s="13">
        <f>IFERROR(ROUND(AVERAGE(M215:P215),1),"")</f>
        <v/>
      </c>
      <c r="R215" s="13" t="n">
        <v>7.2</v>
      </c>
      <c r="S215" s="13" t="n">
        <v>7</v>
      </c>
      <c r="T215" s="13" t="n">
        <v>7.1</v>
      </c>
      <c r="U215" s="13" t="n">
        <v>7.2</v>
      </c>
      <c r="V215" s="13">
        <f>IFERROR(ROUND(AVERAGE(R215:U215),1),"")</f>
        <v/>
      </c>
      <c r="W215" s="13" t="n">
        <v>7.1</v>
      </c>
      <c r="X215" s="13" t="n">
        <v>6.9</v>
      </c>
      <c r="Y215" s="13" t="n">
        <v>5.8</v>
      </c>
      <c r="Z215" s="13" t="n">
        <v>7.3</v>
      </c>
      <c r="AA215" s="13">
        <f>IFERROR(ROUND(AVERAGE(W215:Z215),1),"")</f>
        <v/>
      </c>
      <c r="AB215" s="13" t="n">
        <v>7.4</v>
      </c>
      <c r="AC215" s="13" t="n">
        <v>7.5</v>
      </c>
      <c r="AD215" s="13" t="n">
        <v>7.3</v>
      </c>
      <c r="AE215" s="13" t="n">
        <v>7.8</v>
      </c>
      <c r="AF215" s="13">
        <f>IFERROR(ROUND(AVERAGE(AB215:AE215),1),"")</f>
        <v/>
      </c>
      <c r="AG215" s="13" t="n">
        <v>7.4</v>
      </c>
      <c r="AH215" s="13" t="n">
        <v>6.9</v>
      </c>
      <c r="AI215" s="13" t="n">
        <v>7.3</v>
      </c>
      <c r="AJ215" s="13" t="n">
        <v>7.2</v>
      </c>
      <c r="AK215" s="13">
        <f>IFERROR(ROUND(AVERAGE(AG215:AJ215),1),"")</f>
        <v/>
      </c>
      <c r="AL215" s="13" t="n">
        <v>7.5</v>
      </c>
      <c r="AM215" s="13" t="n">
        <v>7.1</v>
      </c>
      <c r="AN215" s="13" t="n">
        <v>6.8</v>
      </c>
      <c r="AO215" s="13">
        <f>IFERROR(ROUND(AVERAGE(AL215:AN215),1),"")</f>
        <v/>
      </c>
      <c r="AP215" s="13" t="n">
        <v>7.2</v>
      </c>
      <c r="AQ215" s="13" t="n">
        <v>7</v>
      </c>
      <c r="AR215" s="13" t="n">
        <v>9</v>
      </c>
      <c r="AS215" s="13" t="n">
        <v>9.800000000000001</v>
      </c>
      <c r="AT215" s="13">
        <f>IFERROR(ROUND(AVERAGE(AP215:AS215),1),"")</f>
        <v/>
      </c>
      <c r="AU215" s="13" t="n">
        <v>7.3</v>
      </c>
      <c r="AV215" s="13" t="n">
        <v>7.4</v>
      </c>
      <c r="AW215" s="13" t="n">
        <v>7.2</v>
      </c>
      <c r="AX215" s="13" t="n">
        <v>7.2</v>
      </c>
      <c r="AY215" s="13">
        <f>IFERROR(ROUND(AVERAGE(AU215:AX215),1),"")</f>
        <v/>
      </c>
      <c r="AZ215" s="13">
        <f>ROUND(0.19*N(Q215)+0.17*N(V215)+0.17*N(AA215)+0.1*N(AF215)+0.09*N(AK215)+0.12*N(AT215)+0.16*N(AY215),1)</f>
        <v/>
      </c>
      <c r="BA215" s="13" t="inlineStr">
        <is>
          <t>256K</t>
        </is>
      </c>
      <c r="BB215" s="13" t="n"/>
      <c r="BC215" s="13" t="inlineStr"/>
      <c r="BD215" s="13" t="inlineStr"/>
      <c r="BE215" s="13" t="inlineStr">
        <is>
          <t>medium</t>
        </is>
      </c>
      <c r="BF215" s="13" t="n">
        <v>4</v>
      </c>
      <c r="BG215" s="13" t="n">
        <v>3</v>
      </c>
      <c r="BH215" s="13" t="inlineStr">
        <is>
          <t>Laptop-local multi-step reasoning, code helper, tool-capable local agent, text/image/audio analysis</t>
        </is>
      </c>
      <c r="BI215" s="13" t="inlineStr">
        <is>
          <t>Frontier-high-stakes autonomous actions; long production code rewrites without review</t>
        </is>
      </c>
      <c r="BJ215" s="15" t="inlineStr">
        <is>
          <t>M</t>
        </is>
      </c>
      <c r="BK215" s="13" t="inlineStr">
        <is>
          <t>Google model card: 11.95B, 256K, MMLU Pro 77.2, AIME 77.5, LiveCodeBench 72.0, GPQA 78.8; pulled exact Ollama QAT tag gemma4:12b-it-qat and copied local alias gemma4:12b; ollama show: completion/vision/audio/tools/thinking; local /api/chat smoke passed with top-level think=false; benchmark-anchored (AA Index, SWE-bench, GPQA, ARC-AGI-2, Aider, MMMU 2026-06)</t>
        </is>
      </c>
      <c r="BL215" s="13" t="inlineStr">
        <is>
          <t>2026-06-07</t>
        </is>
      </c>
    </row>
    <row r="216">
      <c r="A216" s="13" t="inlineStr">
        <is>
          <t>gemma4:e2b</t>
        </is>
      </c>
      <c r="B216" s="13" t="inlineStr">
        <is>
          <t>Gemma 4 E2B (local)</t>
        </is>
      </c>
      <c r="C216" s="13" t="inlineStr">
        <is>
          <t>Google</t>
        </is>
      </c>
      <c r="D216" s="13" t="inlineStr">
        <is>
          <t>Gemma 4</t>
        </is>
      </c>
      <c r="E216" s="13" t="inlineStr">
        <is>
          <t>e2b</t>
        </is>
      </c>
      <c r="F216" s="13" t="inlineStr">
        <is>
          <t>Current (local)</t>
        </is>
      </c>
      <c r="G216" s="13" t="inlineStr">
        <is>
          <t>Local (tiny)</t>
        </is>
      </c>
      <c r="H216" s="13" t="inlineStr">
        <is>
          <t>Ollama (local)</t>
        </is>
      </c>
      <c r="I216" s="13" t="inlineStr">
        <is>
          <t>Local</t>
        </is>
      </c>
      <c r="J216" s="13" t="inlineStr">
        <is>
          <t>Running (free)</t>
        </is>
      </c>
      <c r="K216" s="13" t="inlineStr">
        <is>
          <t>local_free</t>
        </is>
      </c>
      <c r="L216" s="13" t="inlineStr">
        <is>
          <t>Yes</t>
        </is>
      </c>
      <c r="M216" s="13" t="n">
        <v>5.2</v>
      </c>
      <c r="N216" s="13" t="n">
        <v>4.8</v>
      </c>
      <c r="O216" s="13" t="n">
        <v>4.4</v>
      </c>
      <c r="P216" s="13" t="n">
        <v>5</v>
      </c>
      <c r="Q216" s="13">
        <f>IFERROR(ROUND(AVERAGE(M216:P216),1),"")</f>
        <v/>
      </c>
      <c r="R216" s="13" t="n">
        <v>4.8</v>
      </c>
      <c r="S216" s="13" t="n">
        <v>4.2</v>
      </c>
      <c r="T216" s="13" t="n">
        <v>4.4</v>
      </c>
      <c r="U216" s="13" t="n">
        <v>4.8</v>
      </c>
      <c r="V216" s="13">
        <f>IFERROR(ROUND(AVERAGE(R216:U216),1),"")</f>
        <v/>
      </c>
      <c r="W216" s="13" t="n">
        <v>4.8</v>
      </c>
      <c r="X216" s="13" t="n">
        <v>4.4</v>
      </c>
      <c r="Y216" s="13" t="n">
        <v>3.8</v>
      </c>
      <c r="Z216" s="13" t="n">
        <v>5</v>
      </c>
      <c r="AA216" s="13">
        <f>IFERROR(ROUND(AVERAGE(W216:Z216),1),"")</f>
        <v/>
      </c>
      <c r="AB216" s="13" t="n">
        <v>5.4</v>
      </c>
      <c r="AC216" s="13" t="n">
        <v>5.4</v>
      </c>
      <c r="AD216" s="13" t="n">
        <v>5.2</v>
      </c>
      <c r="AE216" s="13" t="n">
        <v>5.6</v>
      </c>
      <c r="AF216" s="13">
        <f>IFERROR(ROUND(AVERAGE(AB216:AE216),1),"")</f>
        <v/>
      </c>
      <c r="AG216" s="13" t="n">
        <v>4.8</v>
      </c>
      <c r="AH216" s="13" t="n">
        <v>4.2</v>
      </c>
      <c r="AI216" s="13" t="n">
        <v>5.2</v>
      </c>
      <c r="AJ216" s="13" t="n">
        <v>5</v>
      </c>
      <c r="AK216" s="13">
        <f>IFERROR(ROUND(AVERAGE(AG216:AJ216),1),"")</f>
        <v/>
      </c>
      <c r="AL216" s="13" t="inlineStr"/>
      <c r="AM216" s="13" t="inlineStr"/>
      <c r="AN216" s="13" t="inlineStr"/>
      <c r="AO216" s="13">
        <f>IFERROR(ROUND(AVERAGE(AL216:AN216),1),"")</f>
        <v/>
      </c>
      <c r="AP216" s="13" t="n">
        <v>9</v>
      </c>
      <c r="AQ216" s="13" t="n">
        <v>8.6</v>
      </c>
      <c r="AR216" s="13" t="n">
        <v>4</v>
      </c>
      <c r="AS216" s="13" t="n">
        <v>9.9</v>
      </c>
      <c r="AT216" s="13">
        <f>IFERROR(ROUND(AVERAGE(AP216:AS216),1),"")</f>
        <v/>
      </c>
      <c r="AU216" s="13" t="n">
        <v>5.4</v>
      </c>
      <c r="AV216" s="13" t="n">
        <v>5.6</v>
      </c>
      <c r="AW216" s="13" t="n">
        <v>5.6</v>
      </c>
      <c r="AX216" s="13" t="n">
        <v>5.4</v>
      </c>
      <c r="AY216" s="13">
        <f>IFERROR(ROUND(AVERAGE(AU216:AX216),1),"")</f>
        <v/>
      </c>
      <c r="AZ216" s="13">
        <f>ROUND(0.19*N(Q216)+0.17*N(V216)+0.17*N(AA216)+0.1*N(AF216)+0.09*N(AK216)+0.12*N(AT216)+0.16*N(AY216),1)</f>
        <v/>
      </c>
      <c r="BA216" s="13" t="inlineStr">
        <is>
          <t>128K</t>
        </is>
      </c>
      <c r="BB216" s="13" t="n"/>
      <c r="BC216" s="13" t="inlineStr"/>
      <c r="BD216" s="13" t="inlineStr"/>
      <c r="BE216" s="13" t="inlineStr">
        <is>
          <t>low</t>
        </is>
      </c>
      <c r="BF216" s="13" t="n">
        <v>2</v>
      </c>
      <c r="BG216" s="13" t="n">
        <v>2</v>
      </c>
      <c r="BH216" s="13" t="inlineStr">
        <is>
          <t>Tiny local Google model; offline/free</t>
        </is>
      </c>
      <c r="BI216" s="13" t="inlineStr">
        <is>
          <t>Depth</t>
        </is>
      </c>
      <c r="BJ216" s="16" t="inlineStr">
        <is>
          <t>L</t>
        </is>
      </c>
      <c r="BK216" s="13" t="inlineStr">
        <is>
          <t>Local Ollama gemma4:e2b; family-inherited estimate (scaled from flagship); verify before HIGH-stakes routing</t>
        </is>
      </c>
      <c r="BL216" s="13" t="inlineStr">
        <is>
          <t>2026-06-07</t>
        </is>
      </c>
    </row>
    <row r="217">
      <c r="A217" s="13" t="inlineStr">
        <is>
          <t>deepseek-coder-v2</t>
        </is>
      </c>
      <c r="B217" s="13" t="inlineStr">
        <is>
          <t>DeepSeek Coder V2 (local)</t>
        </is>
      </c>
      <c r="C217" s="13" t="inlineStr">
        <is>
          <t>DeepSeek</t>
        </is>
      </c>
      <c r="D217" s="13" t="inlineStr">
        <is>
          <t>DeepSeek Coder</t>
        </is>
      </c>
      <c r="E217" s="13" t="inlineStr">
        <is>
          <t>v2</t>
        </is>
      </c>
      <c r="F217" s="13" t="inlineStr">
        <is>
          <t>Current (local)</t>
        </is>
      </c>
      <c r="G217" s="13" t="inlineStr">
        <is>
          <t>Local Coder</t>
        </is>
      </c>
      <c r="H217" s="13" t="inlineStr">
        <is>
          <t>Ollama (local)</t>
        </is>
      </c>
      <c r="I217" s="13" t="inlineStr">
        <is>
          <t>Local</t>
        </is>
      </c>
      <c r="J217" s="13" t="inlineStr">
        <is>
          <t>Running (free)</t>
        </is>
      </c>
      <c r="K217" s="13" t="inlineStr">
        <is>
          <t>local_free</t>
        </is>
      </c>
      <c r="L217" s="13" t="inlineStr">
        <is>
          <t>Yes</t>
        </is>
      </c>
      <c r="M217" s="13" t="n">
        <v>5.8</v>
      </c>
      <c r="N217" s="13" t="n">
        <v>5.2</v>
      </c>
      <c r="O217" s="13" t="n">
        <v>5</v>
      </c>
      <c r="P217" s="13" t="n">
        <v>5.6</v>
      </c>
      <c r="Q217" s="13">
        <f>IFERROR(ROUND(AVERAGE(M217:P217),1),"")</f>
        <v/>
      </c>
      <c r="R217" s="13" t="n">
        <v>6.8</v>
      </c>
      <c r="S217" s="13" t="n">
        <v>5.8</v>
      </c>
      <c r="T217" s="13" t="n">
        <v>6.2</v>
      </c>
      <c r="U217" s="13" t="n">
        <v>6.6</v>
      </c>
      <c r="V217" s="13">
        <f>IFERROR(ROUND(AVERAGE(R217:U217),1),"")</f>
        <v/>
      </c>
      <c r="W217" s="13" t="n">
        <v>6</v>
      </c>
      <c r="X217" s="13" t="n">
        <v>5.6</v>
      </c>
      <c r="Y217" s="13" t="n">
        <v>4.6</v>
      </c>
      <c r="Z217" s="13" t="n">
        <v>6</v>
      </c>
      <c r="AA217" s="13">
        <f>IFERROR(ROUND(AVERAGE(W217:Z217),1),"")</f>
        <v/>
      </c>
      <c r="AB217" s="13" t="n">
        <v>5.6</v>
      </c>
      <c r="AC217" s="13" t="n">
        <v>5.8</v>
      </c>
      <c r="AD217" s="13" t="n">
        <v>5.6</v>
      </c>
      <c r="AE217" s="13" t="n">
        <v>5.8</v>
      </c>
      <c r="AF217" s="13">
        <f>IFERROR(ROUND(AVERAGE(AB217:AE217),1),"")</f>
        <v/>
      </c>
      <c r="AG217" s="13" t="n">
        <v>5.8</v>
      </c>
      <c r="AH217" s="13" t="n">
        <v>5.2</v>
      </c>
      <c r="AI217" s="13" t="n">
        <v>6.2</v>
      </c>
      <c r="AJ217" s="13" t="n">
        <v>6</v>
      </c>
      <c r="AK217" s="13">
        <f>IFERROR(ROUND(AVERAGE(AG217:AJ217),1),"")</f>
        <v/>
      </c>
      <c r="AL217" s="13" t="inlineStr"/>
      <c r="AM217" s="13" t="inlineStr"/>
      <c r="AN217" s="13" t="inlineStr"/>
      <c r="AO217" s="13">
        <f>IFERROR(ROUND(AVERAGE(AL217:AN217),1),"")</f>
        <v/>
      </c>
      <c r="AP217" s="13" t="n">
        <v>7.8</v>
      </c>
      <c r="AQ217" s="13" t="n">
        <v>7.4</v>
      </c>
      <c r="AR217" s="13" t="n">
        <v>5</v>
      </c>
      <c r="AS217" s="13" t="n">
        <v>9.800000000000001</v>
      </c>
      <c r="AT217" s="13">
        <f>IFERROR(ROUND(AVERAGE(AP217:AS217),1),"")</f>
        <v/>
      </c>
      <c r="AU217" s="13" t="n">
        <v>6</v>
      </c>
      <c r="AV217" s="13" t="n">
        <v>6.2</v>
      </c>
      <c r="AW217" s="13" t="n">
        <v>6</v>
      </c>
      <c r="AX217" s="13" t="n">
        <v>6</v>
      </c>
      <c r="AY217" s="13">
        <f>IFERROR(ROUND(AVERAGE(AU217:AX217),1),"")</f>
        <v/>
      </c>
      <c r="AZ217" s="13">
        <f>ROUND(0.19*N(Q217)+0.17*N(V217)+0.17*N(AA217)+0.1*N(AF217)+0.09*N(AK217)+0.12*N(AT217)+0.16*N(AY217),1)</f>
        <v/>
      </c>
      <c r="BA217" s="13" t="inlineStr">
        <is>
          <t>128K</t>
        </is>
      </c>
      <c r="BB217" s="13" t="n"/>
      <c r="BC217" s="13" t="inlineStr"/>
      <c r="BD217" s="13" t="inlineStr"/>
      <c r="BE217" s="13" t="inlineStr">
        <is>
          <t>low</t>
        </is>
      </c>
      <c r="BF217" s="13" t="n">
        <v>3</v>
      </c>
      <c r="BG217" s="13" t="n">
        <v>3</v>
      </c>
      <c r="BH217" s="13" t="inlineStr">
        <is>
          <t>Local code completion; offline/free</t>
        </is>
      </c>
      <c r="BI217" s="13" t="inlineStr">
        <is>
          <t>Large-repo agentic SWE</t>
        </is>
      </c>
      <c r="BJ217" s="16" t="inlineStr">
        <is>
          <t>L</t>
        </is>
      </c>
      <c r="BK217" s="13" t="inlineStr">
        <is>
          <t>Local Ollama deepseek-coder-v2; family-inherited estimate (scaled from flagship); verify before HIGH-stakes routing</t>
        </is>
      </c>
      <c r="BL217" s="13" t="inlineStr">
        <is>
          <t>2026-06-07</t>
        </is>
      </c>
    </row>
    <row r="218">
      <c r="A218" s="13" t="inlineStr">
        <is>
          <t>qwen2.5-coder:3b</t>
        </is>
      </c>
      <c r="B218" s="13" t="inlineStr">
        <is>
          <t>Qwen2.5 Coder 3B (local)</t>
        </is>
      </c>
      <c r="C218" s="13" t="inlineStr">
        <is>
          <t>Alibaba</t>
        </is>
      </c>
      <c r="D218" s="13" t="inlineStr">
        <is>
          <t>Qwen2.5 Coder</t>
        </is>
      </c>
      <c r="E218" s="13" t="inlineStr">
        <is>
          <t>3b</t>
        </is>
      </c>
      <c r="F218" s="13" t="inlineStr">
        <is>
          <t>Current (local)</t>
        </is>
      </c>
      <c r="G218" s="13" t="inlineStr">
        <is>
          <t>Local Coder (tiny)</t>
        </is>
      </c>
      <c r="H218" s="13" t="inlineStr">
        <is>
          <t>Ollama (local)</t>
        </is>
      </c>
      <c r="I218" s="13" t="inlineStr">
        <is>
          <t>Local</t>
        </is>
      </c>
      <c r="J218" s="13" t="inlineStr">
        <is>
          <t>Running (free)</t>
        </is>
      </c>
      <c r="K218" s="13" t="inlineStr">
        <is>
          <t>local_free</t>
        </is>
      </c>
      <c r="L218" s="13" t="inlineStr">
        <is>
          <t>Yes</t>
        </is>
      </c>
      <c r="M218" s="13" t="n">
        <v>5.2</v>
      </c>
      <c r="N218" s="13" t="n">
        <v>4.6</v>
      </c>
      <c r="O218" s="13" t="n">
        <v>4.4</v>
      </c>
      <c r="P218" s="13" t="n">
        <v>5</v>
      </c>
      <c r="Q218" s="13">
        <f>IFERROR(ROUND(AVERAGE(M218:P218),1),"")</f>
        <v/>
      </c>
      <c r="R218" s="13" t="n">
        <v>6.2</v>
      </c>
      <c r="S218" s="13" t="n">
        <v>5.2</v>
      </c>
      <c r="T218" s="13" t="n">
        <v>5.6</v>
      </c>
      <c r="U218" s="13" t="n">
        <v>6</v>
      </c>
      <c r="V218" s="13">
        <f>IFERROR(ROUND(AVERAGE(R218:U218),1),"")</f>
        <v/>
      </c>
      <c r="W218" s="13" t="n">
        <v>5.2</v>
      </c>
      <c r="X218" s="13" t="n">
        <v>4.8</v>
      </c>
      <c r="Y218" s="13" t="n">
        <v>4</v>
      </c>
      <c r="Z218" s="13" t="n">
        <v>5.2</v>
      </c>
      <c r="AA218" s="13">
        <f>IFERROR(ROUND(AVERAGE(W218:Z218),1),"")</f>
        <v/>
      </c>
      <c r="AB218" s="13" t="n">
        <v>5.2</v>
      </c>
      <c r="AC218" s="13" t="n">
        <v>5.2</v>
      </c>
      <c r="AD218" s="13" t="n">
        <v>5.2</v>
      </c>
      <c r="AE218" s="13" t="n">
        <v>5.4</v>
      </c>
      <c r="AF218" s="13">
        <f>IFERROR(ROUND(AVERAGE(AB218:AE218),1),"")</f>
        <v/>
      </c>
      <c r="AG218" s="13" t="n">
        <v>5.2</v>
      </c>
      <c r="AH218" s="13" t="n">
        <v>4.6</v>
      </c>
      <c r="AI218" s="13" t="n">
        <v>5.8</v>
      </c>
      <c r="AJ218" s="13" t="n">
        <v>5.4</v>
      </c>
      <c r="AK218" s="13">
        <f>IFERROR(ROUND(AVERAGE(AG218:AJ218),1),"")</f>
        <v/>
      </c>
      <c r="AL218" s="13" t="inlineStr"/>
      <c r="AM218" s="13" t="inlineStr"/>
      <c r="AN218" s="13" t="inlineStr"/>
      <c r="AO218" s="13">
        <f>IFERROR(ROUND(AVERAGE(AL218:AN218),1),"")</f>
        <v/>
      </c>
      <c r="AP218" s="13" t="n">
        <v>8.6</v>
      </c>
      <c r="AQ218" s="13" t="n">
        <v>8.199999999999999</v>
      </c>
      <c r="AR218" s="13" t="n">
        <v>5</v>
      </c>
      <c r="AS218" s="13" t="n">
        <v>9.9</v>
      </c>
      <c r="AT218" s="13">
        <f>IFERROR(ROUND(AVERAGE(AP218:AS218),1),"")</f>
        <v/>
      </c>
      <c r="AU218" s="13" t="n">
        <v>5.6</v>
      </c>
      <c r="AV218" s="13" t="n">
        <v>5.8</v>
      </c>
      <c r="AW218" s="13" t="n">
        <v>5.6</v>
      </c>
      <c r="AX218" s="13" t="n">
        <v>5.6</v>
      </c>
      <c r="AY218" s="13">
        <f>IFERROR(ROUND(AVERAGE(AU218:AX218),1),"")</f>
        <v/>
      </c>
      <c r="AZ218" s="13">
        <f>ROUND(0.19*N(Q218)+0.17*N(V218)+0.17*N(AA218)+0.1*N(AF218)+0.09*N(AK218)+0.12*N(AT218)+0.16*N(AY218),1)</f>
        <v/>
      </c>
      <c r="BA218" s="13" t="inlineStr">
        <is>
          <t>128K</t>
        </is>
      </c>
      <c r="BB218" s="13" t="n"/>
      <c r="BC218" s="13" t="inlineStr"/>
      <c r="BD218" s="13" t="inlineStr"/>
      <c r="BE218" s="13" t="inlineStr">
        <is>
          <t>low</t>
        </is>
      </c>
      <c r="BF218" s="13" t="n">
        <v>2</v>
      </c>
      <c r="BG218" s="13" t="n">
        <v>2</v>
      </c>
      <c r="BH218" s="13" t="inlineStr">
        <is>
          <t>Tiny local code helper; offline/free</t>
        </is>
      </c>
      <c r="BI218" s="13" t="inlineStr">
        <is>
          <t>Anything complex</t>
        </is>
      </c>
      <c r="BJ218" s="16" t="inlineStr">
        <is>
          <t>L</t>
        </is>
      </c>
      <c r="BK218" s="13" t="inlineStr">
        <is>
          <t>Local Ollama qwen2.5-coder:3b; family-inherited estimate (scaled from flagship); verify before HIGH-stakes routing</t>
        </is>
      </c>
      <c r="BL218" s="13" t="inlineStr">
        <is>
          <t>2026-06-07</t>
        </is>
      </c>
    </row>
    <row r="219">
      <c r="A219" s="13" t="inlineStr">
        <is>
          <t>ministral-3:3b</t>
        </is>
      </c>
      <c r="B219" s="13" t="inlineStr">
        <is>
          <t>Ministral 3 3B (local)</t>
        </is>
      </c>
      <c r="C219" s="13" t="inlineStr">
        <is>
          <t>Mistral</t>
        </is>
      </c>
      <c r="D219" s="13" t="inlineStr">
        <is>
          <t>Ministral 3</t>
        </is>
      </c>
      <c r="E219" s="13" t="inlineStr">
        <is>
          <t>3b</t>
        </is>
      </c>
      <c r="F219" s="13" t="inlineStr">
        <is>
          <t>Current (local)</t>
        </is>
      </c>
      <c r="G219" s="13" t="inlineStr">
        <is>
          <t>Local Edge (tiny)</t>
        </is>
      </c>
      <c r="H219" s="13" t="inlineStr">
        <is>
          <t>Ollama (local)</t>
        </is>
      </c>
      <c r="I219" s="13" t="inlineStr">
        <is>
          <t>Local</t>
        </is>
      </c>
      <c r="J219" s="13" t="inlineStr">
        <is>
          <t>Running (free)</t>
        </is>
      </c>
      <c r="K219" s="13" t="inlineStr">
        <is>
          <t>local_free</t>
        </is>
      </c>
      <c r="L219" s="13" t="inlineStr">
        <is>
          <t>Yes</t>
        </is>
      </c>
      <c r="M219" s="13" t="n">
        <v>5.4</v>
      </c>
      <c r="N219" s="13" t="n">
        <v>4.8</v>
      </c>
      <c r="O219" s="13" t="n">
        <v>4.6</v>
      </c>
      <c r="P219" s="13" t="n">
        <v>5.2</v>
      </c>
      <c r="Q219" s="13">
        <f>IFERROR(ROUND(AVERAGE(M219:P219),1),"")</f>
        <v/>
      </c>
      <c r="R219" s="13" t="n">
        <v>5.2</v>
      </c>
      <c r="S219" s="13" t="n">
        <v>4.4</v>
      </c>
      <c r="T219" s="13" t="n">
        <v>4.6</v>
      </c>
      <c r="U219" s="13" t="n">
        <v>5</v>
      </c>
      <c r="V219" s="13">
        <f>IFERROR(ROUND(AVERAGE(R219:U219),1),"")</f>
        <v/>
      </c>
      <c r="W219" s="13" t="n">
        <v>5.2</v>
      </c>
      <c r="X219" s="13" t="n">
        <v>4.8</v>
      </c>
      <c r="Y219" s="13" t="n">
        <v>4</v>
      </c>
      <c r="Z219" s="13" t="n">
        <v>5.2</v>
      </c>
      <c r="AA219" s="13">
        <f>IFERROR(ROUND(AVERAGE(W219:Z219),1),"")</f>
        <v/>
      </c>
      <c r="AB219" s="13" t="n">
        <v>5.6</v>
      </c>
      <c r="AC219" s="13" t="n">
        <v>5.6</v>
      </c>
      <c r="AD219" s="13" t="n">
        <v>5.4</v>
      </c>
      <c r="AE219" s="13" t="n">
        <v>5.8</v>
      </c>
      <c r="AF219" s="13">
        <f>IFERROR(ROUND(AVERAGE(AB219:AE219),1),"")</f>
        <v/>
      </c>
      <c r="AG219" s="13" t="n">
        <v>5</v>
      </c>
      <c r="AH219" s="13" t="n">
        <v>4.4</v>
      </c>
      <c r="AI219" s="13" t="n">
        <v>5.4</v>
      </c>
      <c r="AJ219" s="13" t="n">
        <v>5.2</v>
      </c>
      <c r="AK219" s="13">
        <f>IFERROR(ROUND(AVERAGE(AG219:AJ219),1),"")</f>
        <v/>
      </c>
      <c r="AL219" s="13" t="inlineStr"/>
      <c r="AM219" s="13" t="inlineStr"/>
      <c r="AN219" s="13" t="inlineStr"/>
      <c r="AO219" s="13">
        <f>IFERROR(ROUND(AVERAGE(AL219:AN219),1),"")</f>
        <v/>
      </c>
      <c r="AP219" s="13" t="n">
        <v>8.800000000000001</v>
      </c>
      <c r="AQ219" s="13" t="n">
        <v>8.4</v>
      </c>
      <c r="AR219" s="13" t="n">
        <v>5</v>
      </c>
      <c r="AS219" s="13" t="n">
        <v>9.9</v>
      </c>
      <c r="AT219" s="13">
        <f>IFERROR(ROUND(AVERAGE(AP219:AS219),1),"")</f>
        <v/>
      </c>
      <c r="AU219" s="13" t="n">
        <v>5.6</v>
      </c>
      <c r="AV219" s="13" t="n">
        <v>5.8</v>
      </c>
      <c r="AW219" s="13" t="n">
        <v>5.8</v>
      </c>
      <c r="AX219" s="13" t="n">
        <v>5.6</v>
      </c>
      <c r="AY219" s="13">
        <f>IFERROR(ROUND(AVERAGE(AU219:AX219),1),"")</f>
        <v/>
      </c>
      <c r="AZ219" s="13">
        <f>ROUND(0.19*N(Q219)+0.17*N(V219)+0.17*N(AA219)+0.1*N(AF219)+0.09*N(AK219)+0.12*N(AT219)+0.16*N(AY219),1)</f>
        <v/>
      </c>
      <c r="BA219" s="13" t="inlineStr">
        <is>
          <t>128K</t>
        </is>
      </c>
      <c r="BB219" s="13" t="n"/>
      <c r="BC219" s="13" t="inlineStr"/>
      <c r="BD219" s="13" t="inlineStr"/>
      <c r="BE219" s="13" t="inlineStr">
        <is>
          <t>low</t>
        </is>
      </c>
      <c r="BF219" s="13" t="n">
        <v>2</v>
      </c>
      <c r="BG219" s="13" t="n">
        <v>2</v>
      </c>
      <c r="BH219" s="13" t="inlineStr">
        <is>
          <t>Tiny local edge chat; offline/free</t>
        </is>
      </c>
      <c r="BI219" s="13" t="inlineStr">
        <is>
          <t>Depth</t>
        </is>
      </c>
      <c r="BJ219" s="16" t="inlineStr">
        <is>
          <t>L</t>
        </is>
      </c>
      <c r="BK219" s="13" t="inlineStr">
        <is>
          <t>Local Ollama ministral-3:3b; family-inherited estimate (scaled from flagship); verify before HIGH-stakes routing</t>
        </is>
      </c>
      <c r="BL219" s="13" t="inlineStr">
        <is>
          <t>2026-06-07</t>
        </is>
      </c>
    </row>
    <row r="220">
      <c r="A220" s="13" t="inlineStr">
        <is>
          <t>lfm2.5-thinking:1.2b</t>
        </is>
      </c>
      <c r="B220" s="13" t="inlineStr">
        <is>
          <t>LFM2.5 Thinking 1.2B (local)</t>
        </is>
      </c>
      <c r="C220" s="13" t="inlineStr">
        <is>
          <t>Liquid AI</t>
        </is>
      </c>
      <c r="D220" s="13" t="inlineStr">
        <is>
          <t>LFM2.5</t>
        </is>
      </c>
      <c r="E220" s="13" t="inlineStr">
        <is>
          <t>1.2b</t>
        </is>
      </c>
      <c r="F220" s="13" t="inlineStr">
        <is>
          <t>Current (local)</t>
        </is>
      </c>
      <c r="G220" s="13" t="inlineStr">
        <is>
          <t>Local Reasoning (tiny)</t>
        </is>
      </c>
      <c r="H220" s="13" t="inlineStr">
        <is>
          <t>Ollama (local)</t>
        </is>
      </c>
      <c r="I220" s="13" t="inlineStr">
        <is>
          <t>Local</t>
        </is>
      </c>
      <c r="J220" s="13" t="inlineStr">
        <is>
          <t>Running (free)</t>
        </is>
      </c>
      <c r="K220" s="13" t="inlineStr">
        <is>
          <t>local_free</t>
        </is>
      </c>
      <c r="L220" s="13" t="inlineStr">
        <is>
          <t>Yes</t>
        </is>
      </c>
      <c r="M220" s="13" t="n">
        <v>5.4</v>
      </c>
      <c r="N220" s="13" t="n">
        <v>5.2</v>
      </c>
      <c r="O220" s="13" t="n">
        <v>4.2</v>
      </c>
      <c r="P220" s="13" t="n">
        <v>4.6</v>
      </c>
      <c r="Q220" s="13">
        <f>IFERROR(ROUND(AVERAGE(M220:P220),1),"")</f>
        <v/>
      </c>
      <c r="R220" s="13" t="n">
        <v>4.6</v>
      </c>
      <c r="S220" s="13" t="n">
        <v>4</v>
      </c>
      <c r="T220" s="13" t="n">
        <v>4.2</v>
      </c>
      <c r="U220" s="13" t="n">
        <v>4.6</v>
      </c>
      <c r="V220" s="13">
        <f>IFERROR(ROUND(AVERAGE(R220:U220),1),"")</f>
        <v/>
      </c>
      <c r="W220" s="13" t="n">
        <v>4.6</v>
      </c>
      <c r="X220" s="13" t="n">
        <v>4.2</v>
      </c>
      <c r="Y220" s="13" t="n">
        <v>3.6</v>
      </c>
      <c r="Z220" s="13" t="n">
        <v>4.8</v>
      </c>
      <c r="AA220" s="13">
        <f>IFERROR(ROUND(AVERAGE(W220:Z220),1),"")</f>
        <v/>
      </c>
      <c r="AB220" s="13" t="n">
        <v>4.8</v>
      </c>
      <c r="AC220" s="13" t="n">
        <v>4.8</v>
      </c>
      <c r="AD220" s="13" t="n">
        <v>4.8</v>
      </c>
      <c r="AE220" s="13" t="n">
        <v>4.8</v>
      </c>
      <c r="AF220" s="13">
        <f>IFERROR(ROUND(AVERAGE(AB220:AE220),1),"")</f>
        <v/>
      </c>
      <c r="AG220" s="13" t="n">
        <v>4.8</v>
      </c>
      <c r="AH220" s="13" t="n">
        <v>4.4</v>
      </c>
      <c r="AI220" s="13" t="n">
        <v>5</v>
      </c>
      <c r="AJ220" s="13" t="n">
        <v>5.2</v>
      </c>
      <c r="AK220" s="13">
        <f>IFERROR(ROUND(AVERAGE(AG220:AJ220),1),"")</f>
        <v/>
      </c>
      <c r="AL220" s="13" t="inlineStr"/>
      <c r="AM220" s="13" t="inlineStr"/>
      <c r="AN220" s="13" t="inlineStr"/>
      <c r="AO220" s="13">
        <f>IFERROR(ROUND(AVERAGE(AL220:AN220),1),"")</f>
        <v/>
      </c>
      <c r="AP220" s="13" t="n">
        <v>9</v>
      </c>
      <c r="AQ220" s="13" t="n">
        <v>8.800000000000001</v>
      </c>
      <c r="AR220" s="13" t="n">
        <v>4</v>
      </c>
      <c r="AS220" s="13" t="n">
        <v>9.9</v>
      </c>
      <c r="AT220" s="13">
        <f>IFERROR(ROUND(AVERAGE(AP220:AS220),1),"")</f>
        <v/>
      </c>
      <c r="AU220" s="13" t="n">
        <v>5</v>
      </c>
      <c r="AV220" s="13" t="n">
        <v>5.2</v>
      </c>
      <c r="AW220" s="13" t="n">
        <v>5</v>
      </c>
      <c r="AX220" s="13" t="n">
        <v>5</v>
      </c>
      <c r="AY220" s="13">
        <f>IFERROR(ROUND(AVERAGE(AU220:AX220),1),"")</f>
        <v/>
      </c>
      <c r="AZ220" s="13">
        <f>ROUND(0.19*N(Q220)+0.17*N(V220)+0.17*N(AA220)+0.1*N(AF220)+0.09*N(AK220)+0.12*N(AT220)+0.16*N(AY220),1)</f>
        <v/>
      </c>
      <c r="BA220" s="13" t="inlineStr">
        <is>
          <t>32K</t>
        </is>
      </c>
      <c r="BB220" s="13" t="n"/>
      <c r="BC220" s="13" t="inlineStr"/>
      <c r="BD220" s="13" t="inlineStr"/>
      <c r="BE220" s="13" t="inlineStr">
        <is>
          <t>low</t>
        </is>
      </c>
      <c r="BF220" s="13" t="n">
        <v>2</v>
      </c>
      <c r="BG220" s="13" t="n">
        <v>2</v>
      </c>
      <c r="BH220" s="13" t="inlineStr">
        <is>
          <t>Tiny local reasoning; offline/free</t>
        </is>
      </c>
      <c r="BI220" s="13" t="inlineStr">
        <is>
          <t>Most real tasks</t>
        </is>
      </c>
      <c r="BJ220" s="16" t="inlineStr">
        <is>
          <t>L</t>
        </is>
      </c>
      <c r="BK220" s="13" t="inlineStr">
        <is>
          <t>Local Ollama lfm2.5-thinking:1.2b; family-inherited estimate (scaled from flagship); verify before HIGH-stakes routing</t>
        </is>
      </c>
      <c r="BL220" s="13" t="inlineStr">
        <is>
          <t>2026-06-07</t>
        </is>
      </c>
    </row>
    <row r="221">
      <c r="A221" s="13" t="inlineStr">
        <is>
          <t>qwen3.5:4b</t>
        </is>
      </c>
      <c r="B221" s="13" t="inlineStr">
        <is>
          <t>Qwen3.5 4B (local)</t>
        </is>
      </c>
      <c r="C221" s="13" t="inlineStr">
        <is>
          <t>Alibaba</t>
        </is>
      </c>
      <c r="D221" s="13" t="inlineStr">
        <is>
          <t>Qwen3.5</t>
        </is>
      </c>
      <c r="E221" s="13" t="inlineStr">
        <is>
          <t>4b</t>
        </is>
      </c>
      <c r="F221" s="13" t="inlineStr">
        <is>
          <t>Current (local)</t>
        </is>
      </c>
      <c r="G221" s="13" t="inlineStr">
        <is>
          <t>Local (tiny)</t>
        </is>
      </c>
      <c r="H221" s="13" t="inlineStr">
        <is>
          <t>Ollama (local)</t>
        </is>
      </c>
      <c r="I221" s="13" t="inlineStr">
        <is>
          <t>Local</t>
        </is>
      </c>
      <c r="J221" s="13" t="inlineStr">
        <is>
          <t>Running (free)</t>
        </is>
      </c>
      <c r="K221" s="13" t="inlineStr">
        <is>
          <t>local_free</t>
        </is>
      </c>
      <c r="L221" s="13" t="inlineStr">
        <is>
          <t>Yes</t>
        </is>
      </c>
      <c r="M221" s="13" t="n">
        <v>5.4</v>
      </c>
      <c r="N221" s="13" t="n">
        <v>5</v>
      </c>
      <c r="O221" s="13" t="n">
        <v>4.6</v>
      </c>
      <c r="P221" s="13" t="n">
        <v>5.2</v>
      </c>
      <c r="Q221" s="13">
        <f>IFERROR(ROUND(AVERAGE(M221:P221),1),"")</f>
        <v/>
      </c>
      <c r="R221" s="13" t="n">
        <v>5.2</v>
      </c>
      <c r="S221" s="13" t="n">
        <v>4.6</v>
      </c>
      <c r="T221" s="13" t="n">
        <v>4.8</v>
      </c>
      <c r="U221" s="13" t="n">
        <v>5.2</v>
      </c>
      <c r="V221" s="13">
        <f>IFERROR(ROUND(AVERAGE(R221:U221),1),"")</f>
        <v/>
      </c>
      <c r="W221" s="13" t="n">
        <v>5</v>
      </c>
      <c r="X221" s="13" t="n">
        <v>4.6</v>
      </c>
      <c r="Y221" s="13" t="n">
        <v>4</v>
      </c>
      <c r="Z221" s="13" t="n">
        <v>5.2</v>
      </c>
      <c r="AA221" s="13">
        <f>IFERROR(ROUND(AVERAGE(W221:Z221),1),"")</f>
        <v/>
      </c>
      <c r="AB221" s="13" t="n">
        <v>5.4</v>
      </c>
      <c r="AC221" s="13" t="n">
        <v>5.4</v>
      </c>
      <c r="AD221" s="13" t="n">
        <v>5.2</v>
      </c>
      <c r="AE221" s="13" t="n">
        <v>5.8</v>
      </c>
      <c r="AF221" s="13">
        <f>IFERROR(ROUND(AVERAGE(AB221:AE221),1),"")</f>
        <v/>
      </c>
      <c r="AG221" s="13" t="n">
        <v>5</v>
      </c>
      <c r="AH221" s="13" t="n">
        <v>4.4</v>
      </c>
      <c r="AI221" s="13" t="n">
        <v>5.4</v>
      </c>
      <c r="AJ221" s="13" t="n">
        <v>5.2</v>
      </c>
      <c r="AK221" s="13">
        <f>IFERROR(ROUND(AVERAGE(AG221:AJ221),1),"")</f>
        <v/>
      </c>
      <c r="AL221" s="13" t="inlineStr"/>
      <c r="AM221" s="13" t="inlineStr"/>
      <c r="AN221" s="13" t="inlineStr"/>
      <c r="AO221" s="13">
        <f>IFERROR(ROUND(AVERAGE(AL221:AN221),1),"")</f>
        <v/>
      </c>
      <c r="AP221" s="13" t="n">
        <v>8.800000000000001</v>
      </c>
      <c r="AQ221" s="13" t="n">
        <v>8.4</v>
      </c>
      <c r="AR221" s="13" t="n">
        <v>5</v>
      </c>
      <c r="AS221" s="13" t="n">
        <v>9.9</v>
      </c>
      <c r="AT221" s="13">
        <f>IFERROR(ROUND(AVERAGE(AP221:AS221),1),"")</f>
        <v/>
      </c>
      <c r="AU221" s="13" t="n">
        <v>5.6</v>
      </c>
      <c r="AV221" s="13" t="n">
        <v>5.8</v>
      </c>
      <c r="AW221" s="13" t="n">
        <v>5.8</v>
      </c>
      <c r="AX221" s="13" t="n">
        <v>5.6</v>
      </c>
      <c r="AY221" s="13">
        <f>IFERROR(ROUND(AVERAGE(AU221:AX221),1),"")</f>
        <v/>
      </c>
      <c r="AZ221" s="13">
        <f>ROUND(0.19*N(Q221)+0.17*N(V221)+0.17*N(AA221)+0.1*N(AF221)+0.09*N(AK221)+0.12*N(AT221)+0.16*N(AY221),1)</f>
        <v/>
      </c>
      <c r="BA221" s="13" t="inlineStr">
        <is>
          <t>128K</t>
        </is>
      </c>
      <c r="BB221" s="13" t="n"/>
      <c r="BC221" s="13" t="inlineStr"/>
      <c r="BD221" s="13" t="inlineStr"/>
      <c r="BE221" s="13" t="inlineStr">
        <is>
          <t>low</t>
        </is>
      </c>
      <c r="BF221" s="13" t="n">
        <v>2</v>
      </c>
      <c r="BG221" s="13" t="n">
        <v>2</v>
      </c>
      <c r="BH221" s="13" t="inlineStr">
        <is>
          <t>Small local general; offline/free</t>
        </is>
      </c>
      <c r="BI221" s="13" t="inlineStr">
        <is>
          <t>Depth</t>
        </is>
      </c>
      <c r="BJ221" s="16" t="inlineStr">
        <is>
          <t>L</t>
        </is>
      </c>
      <c r="BK221" s="13" t="inlineStr">
        <is>
          <t>Local Ollama qwen3.5:4b; family-inherited estimate (scaled from flagship); verify before HIGH-stakes routing</t>
        </is>
      </c>
      <c r="BL221" s="13" t="inlineStr">
        <is>
          <t>2026-06-07</t>
        </is>
      </c>
    </row>
    <row r="222">
      <c r="A222" s="13" t="inlineStr">
        <is>
          <t>qwen3.5:2b</t>
        </is>
      </c>
      <c r="B222" s="13" t="inlineStr">
        <is>
          <t>Qwen3.5 2B (local)</t>
        </is>
      </c>
      <c r="C222" s="13" t="inlineStr">
        <is>
          <t>Alibaba</t>
        </is>
      </c>
      <c r="D222" s="13" t="inlineStr">
        <is>
          <t>Qwen3.5</t>
        </is>
      </c>
      <c r="E222" s="13" t="inlineStr">
        <is>
          <t>2b</t>
        </is>
      </c>
      <c r="F222" s="13" t="inlineStr">
        <is>
          <t>Current (local)</t>
        </is>
      </c>
      <c r="G222" s="13" t="inlineStr">
        <is>
          <t>Local (tiny)</t>
        </is>
      </c>
      <c r="H222" s="13" t="inlineStr">
        <is>
          <t>Ollama (local)</t>
        </is>
      </c>
      <c r="I222" s="13" t="inlineStr">
        <is>
          <t>Local</t>
        </is>
      </c>
      <c r="J222" s="13" t="inlineStr">
        <is>
          <t>Running (free)</t>
        </is>
      </c>
      <c r="K222" s="13" t="inlineStr">
        <is>
          <t>local_free</t>
        </is>
      </c>
      <c r="L222" s="13" t="inlineStr">
        <is>
          <t>Yes</t>
        </is>
      </c>
      <c r="M222" s="13" t="n">
        <v>4.8</v>
      </c>
      <c r="N222" s="13" t="n">
        <v>4.4</v>
      </c>
      <c r="O222" s="13" t="n">
        <v>4</v>
      </c>
      <c r="P222" s="13" t="n">
        <v>4.6</v>
      </c>
      <c r="Q222" s="13">
        <f>IFERROR(ROUND(AVERAGE(M222:P222),1),"")</f>
        <v/>
      </c>
      <c r="R222" s="13" t="n">
        <v>4.6</v>
      </c>
      <c r="S222" s="13" t="n">
        <v>4</v>
      </c>
      <c r="T222" s="13" t="n">
        <v>4.2</v>
      </c>
      <c r="U222" s="13" t="n">
        <v>4.6</v>
      </c>
      <c r="V222" s="13">
        <f>IFERROR(ROUND(AVERAGE(R222:U222),1),"")</f>
        <v/>
      </c>
      <c r="W222" s="13" t="n">
        <v>4.4</v>
      </c>
      <c r="X222" s="13" t="n">
        <v>4</v>
      </c>
      <c r="Y222" s="13" t="n">
        <v>3.4</v>
      </c>
      <c r="Z222" s="13" t="n">
        <v>4.6</v>
      </c>
      <c r="AA222" s="13">
        <f>IFERROR(ROUND(AVERAGE(W222:Z222),1),"")</f>
        <v/>
      </c>
      <c r="AB222" s="13" t="n">
        <v>4.8</v>
      </c>
      <c r="AC222" s="13" t="n">
        <v>4.8</v>
      </c>
      <c r="AD222" s="13" t="n">
        <v>4.6</v>
      </c>
      <c r="AE222" s="13" t="n">
        <v>5.2</v>
      </c>
      <c r="AF222" s="13">
        <f>IFERROR(ROUND(AVERAGE(AB222:AE222),1),"")</f>
        <v/>
      </c>
      <c r="AG222" s="13" t="n">
        <v>4.4</v>
      </c>
      <c r="AH222" s="13" t="n">
        <v>3.8</v>
      </c>
      <c r="AI222" s="13" t="n">
        <v>4.8</v>
      </c>
      <c r="AJ222" s="13" t="n">
        <v>4.6</v>
      </c>
      <c r="AK222" s="13">
        <f>IFERROR(ROUND(AVERAGE(AG222:AJ222),1),"")</f>
        <v/>
      </c>
      <c r="AL222" s="13" t="inlineStr"/>
      <c r="AM222" s="13" t="inlineStr"/>
      <c r="AN222" s="13" t="inlineStr"/>
      <c r="AO222" s="13">
        <f>IFERROR(ROUND(AVERAGE(AL222:AN222),1),"")</f>
        <v/>
      </c>
      <c r="AP222" s="13" t="n">
        <v>9.199999999999999</v>
      </c>
      <c r="AQ222" s="13" t="n">
        <v>8.800000000000001</v>
      </c>
      <c r="AR222" s="13" t="n">
        <v>5</v>
      </c>
      <c r="AS222" s="13" t="n">
        <v>9.9</v>
      </c>
      <c r="AT222" s="13">
        <f>IFERROR(ROUND(AVERAGE(AP222:AS222),1),"")</f>
        <v/>
      </c>
      <c r="AU222" s="13" t="n">
        <v>5</v>
      </c>
      <c r="AV222" s="13" t="n">
        <v>5.2</v>
      </c>
      <c r="AW222" s="13" t="n">
        <v>5.2</v>
      </c>
      <c r="AX222" s="13" t="n">
        <v>5</v>
      </c>
      <c r="AY222" s="13">
        <f>IFERROR(ROUND(AVERAGE(AU222:AX222),1),"")</f>
        <v/>
      </c>
      <c r="AZ222" s="13">
        <f>ROUND(0.19*N(Q222)+0.17*N(V222)+0.17*N(AA222)+0.1*N(AF222)+0.09*N(AK222)+0.12*N(AT222)+0.16*N(AY222),1)</f>
        <v/>
      </c>
      <c r="BA222" s="13" t="inlineStr">
        <is>
          <t>128K</t>
        </is>
      </c>
      <c r="BB222" s="13" t="n"/>
      <c r="BC222" s="13" t="inlineStr"/>
      <c r="BD222" s="13" t="inlineStr"/>
      <c r="BE222" s="13" t="inlineStr">
        <is>
          <t>low</t>
        </is>
      </c>
      <c r="BF222" s="13" t="n">
        <v>2</v>
      </c>
      <c r="BG222" s="13" t="n">
        <v>2</v>
      </c>
      <c r="BH222" s="13" t="inlineStr">
        <is>
          <t>Very small local; quick offline tasks</t>
        </is>
      </c>
      <c r="BI222" s="13" t="inlineStr"/>
      <c r="BJ222" s="16" t="inlineStr">
        <is>
          <t>L</t>
        </is>
      </c>
      <c r="BK222" s="13" t="inlineStr">
        <is>
          <t>Local Ollama qwen3.5:2b; family-inherited estimate (scaled from flagship); verify before HIGH-stakes routing</t>
        </is>
      </c>
      <c r="BL222" s="13" t="inlineStr">
        <is>
          <t>2026-06-07</t>
        </is>
      </c>
    </row>
    <row r="223">
      <c r="A223" s="13" t="inlineStr">
        <is>
          <t>qwen3.5:0.8b</t>
        </is>
      </c>
      <c r="B223" s="13" t="inlineStr">
        <is>
          <t>Qwen3.5 0.8B (local)</t>
        </is>
      </c>
      <c r="C223" s="13" t="inlineStr">
        <is>
          <t>Alibaba</t>
        </is>
      </c>
      <c r="D223" s="13" t="inlineStr">
        <is>
          <t>Qwen3.5</t>
        </is>
      </c>
      <c r="E223" s="13" t="inlineStr">
        <is>
          <t>0.8b</t>
        </is>
      </c>
      <c r="F223" s="13" t="inlineStr">
        <is>
          <t>Current (local)</t>
        </is>
      </c>
      <c r="G223" s="13" t="inlineStr">
        <is>
          <t>Local (nano)</t>
        </is>
      </c>
      <c r="H223" s="13" t="inlineStr">
        <is>
          <t>Ollama (local)</t>
        </is>
      </c>
      <c r="I223" s="13" t="inlineStr">
        <is>
          <t>Local</t>
        </is>
      </c>
      <c r="J223" s="13" t="inlineStr">
        <is>
          <t>Running (free)</t>
        </is>
      </c>
      <c r="K223" s="13" t="inlineStr">
        <is>
          <t>local_free</t>
        </is>
      </c>
      <c r="L223" s="13" t="inlineStr">
        <is>
          <t>Yes</t>
        </is>
      </c>
      <c r="M223" s="13" t="n">
        <v>3.8</v>
      </c>
      <c r="N223" s="13" t="n">
        <v>3.4</v>
      </c>
      <c r="O223" s="13" t="n">
        <v>3</v>
      </c>
      <c r="P223" s="13" t="n">
        <v>3.6</v>
      </c>
      <c r="Q223" s="13">
        <f>IFERROR(ROUND(AVERAGE(M223:P223),1),"")</f>
        <v/>
      </c>
      <c r="R223" s="13" t="n">
        <v>3.6</v>
      </c>
      <c r="S223" s="13" t="n">
        <v>3</v>
      </c>
      <c r="T223" s="13" t="n">
        <v>3.2</v>
      </c>
      <c r="U223" s="13" t="n">
        <v>3.6</v>
      </c>
      <c r="V223" s="13">
        <f>IFERROR(ROUND(AVERAGE(R223:U223),1),"")</f>
        <v/>
      </c>
      <c r="W223" s="13" t="n">
        <v>3.4</v>
      </c>
      <c r="X223" s="13" t="n">
        <v>3</v>
      </c>
      <c r="Y223" s="13" t="n">
        <v>2.6</v>
      </c>
      <c r="Z223" s="13" t="n">
        <v>3.6</v>
      </c>
      <c r="AA223" s="13">
        <f>IFERROR(ROUND(AVERAGE(W223:Z223),1),"")</f>
        <v/>
      </c>
      <c r="AB223" s="13" t="n">
        <v>4</v>
      </c>
      <c r="AC223" s="13" t="n">
        <v>4</v>
      </c>
      <c r="AD223" s="13" t="n">
        <v>3.8</v>
      </c>
      <c r="AE223" s="13" t="n">
        <v>4.2</v>
      </c>
      <c r="AF223" s="13">
        <f>IFERROR(ROUND(AVERAGE(AB223:AE223),1),"")</f>
        <v/>
      </c>
      <c r="AG223" s="13" t="n">
        <v>3.6</v>
      </c>
      <c r="AH223" s="13" t="n">
        <v>3.2</v>
      </c>
      <c r="AI223" s="13" t="n">
        <v>4</v>
      </c>
      <c r="AJ223" s="13" t="n">
        <v>3.8</v>
      </c>
      <c r="AK223" s="13">
        <f>IFERROR(ROUND(AVERAGE(AG223:AJ223),1),"")</f>
        <v/>
      </c>
      <c r="AL223" s="13" t="inlineStr"/>
      <c r="AM223" s="13" t="inlineStr"/>
      <c r="AN223" s="13" t="inlineStr"/>
      <c r="AO223" s="13">
        <f>IFERROR(ROUND(AVERAGE(AL223:AN223),1),"")</f>
        <v/>
      </c>
      <c r="AP223" s="13" t="n">
        <v>9.4</v>
      </c>
      <c r="AQ223" s="13" t="n">
        <v>9.199999999999999</v>
      </c>
      <c r="AR223" s="13" t="n">
        <v>5</v>
      </c>
      <c r="AS223" s="13" t="n">
        <v>10</v>
      </c>
      <c r="AT223" s="13">
        <f>IFERROR(ROUND(AVERAGE(AP223:AS223),1),"")</f>
        <v/>
      </c>
      <c r="AU223" s="13" t="n">
        <v>4.2</v>
      </c>
      <c r="AV223" s="13" t="n">
        <v>4.4</v>
      </c>
      <c r="AW223" s="13" t="n">
        <v>4.4</v>
      </c>
      <c r="AX223" s="13" t="n">
        <v>4.2</v>
      </c>
      <c r="AY223" s="13">
        <f>IFERROR(ROUND(AVERAGE(AU223:AX223),1),"")</f>
        <v/>
      </c>
      <c r="AZ223" s="13">
        <f>ROUND(0.19*N(Q223)+0.17*N(V223)+0.17*N(AA223)+0.1*N(AF223)+0.09*N(AK223)+0.12*N(AT223)+0.16*N(AY223),1)</f>
        <v/>
      </c>
      <c r="BA223" s="13" t="inlineStr">
        <is>
          <t>128K</t>
        </is>
      </c>
      <c r="BB223" s="13" t="n"/>
      <c r="BC223" s="13" t="inlineStr"/>
      <c r="BD223" s="13" t="inlineStr"/>
      <c r="BE223" s="13" t="inlineStr">
        <is>
          <t>low</t>
        </is>
      </c>
      <c r="BF223" s="13" t="n">
        <v>1</v>
      </c>
      <c r="BG223" s="13" t="n">
        <v>1</v>
      </c>
      <c r="BH223" s="13" t="inlineStr">
        <is>
          <t>Nano local; quick smoke tests offline</t>
        </is>
      </c>
      <c r="BI223" s="13" t="inlineStr">
        <is>
          <t>Real work</t>
        </is>
      </c>
      <c r="BJ223" s="16" t="inlineStr">
        <is>
          <t>L</t>
        </is>
      </c>
      <c r="BK223" s="13" t="inlineStr">
        <is>
          <t>Local Ollama qwen3.5:0.8b; family-inherited estimate (scaled from flagship); verify before HIGH-stakes routing</t>
        </is>
      </c>
      <c r="BL223" s="13" t="inlineStr">
        <is>
          <t>2026-06-07</t>
        </is>
      </c>
    </row>
    <row r="224">
      <c r="A224" s="13" t="inlineStr">
        <is>
          <t>qwen3:4b</t>
        </is>
      </c>
      <c r="B224" s="13" t="inlineStr">
        <is>
          <t>Qwen3 4B (local)</t>
        </is>
      </c>
      <c r="C224" s="13" t="inlineStr">
        <is>
          <t>Alibaba</t>
        </is>
      </c>
      <c r="D224" s="13" t="inlineStr">
        <is>
          <t>Qwen3</t>
        </is>
      </c>
      <c r="E224" s="13" t="inlineStr">
        <is>
          <t>4b</t>
        </is>
      </c>
      <c r="F224" s="13" t="inlineStr">
        <is>
          <t>Current (local)</t>
        </is>
      </c>
      <c r="G224" s="13" t="inlineStr">
        <is>
          <t>Local (tiny)</t>
        </is>
      </c>
      <c r="H224" s="13" t="inlineStr">
        <is>
          <t>Ollama (local)</t>
        </is>
      </c>
      <c r="I224" s="13" t="inlineStr">
        <is>
          <t>Local</t>
        </is>
      </c>
      <c r="J224" s="13" t="inlineStr">
        <is>
          <t>Running (free)</t>
        </is>
      </c>
      <c r="K224" s="13" t="inlineStr">
        <is>
          <t>local_free</t>
        </is>
      </c>
      <c r="L224" s="13" t="inlineStr">
        <is>
          <t>Yes</t>
        </is>
      </c>
      <c r="M224" s="13" t="n">
        <v>5.2</v>
      </c>
      <c r="N224" s="13" t="n">
        <v>4.8</v>
      </c>
      <c r="O224" s="13" t="n">
        <v>4.4</v>
      </c>
      <c r="P224" s="13" t="n">
        <v>5</v>
      </c>
      <c r="Q224" s="13">
        <f>IFERROR(ROUND(AVERAGE(M224:P224),1),"")</f>
        <v/>
      </c>
      <c r="R224" s="13" t="n">
        <v>5</v>
      </c>
      <c r="S224" s="13" t="n">
        <v>4.4</v>
      </c>
      <c r="T224" s="13" t="n">
        <v>4.6</v>
      </c>
      <c r="U224" s="13" t="n">
        <v>5</v>
      </c>
      <c r="V224" s="13">
        <f>IFERROR(ROUND(AVERAGE(R224:U224),1),"")</f>
        <v/>
      </c>
      <c r="W224" s="13" t="n">
        <v>4.8</v>
      </c>
      <c r="X224" s="13" t="n">
        <v>4.4</v>
      </c>
      <c r="Y224" s="13" t="n">
        <v>3.8</v>
      </c>
      <c r="Z224" s="13" t="n">
        <v>5</v>
      </c>
      <c r="AA224" s="13">
        <f>IFERROR(ROUND(AVERAGE(W224:Z224),1),"")</f>
        <v/>
      </c>
      <c r="AB224" s="13" t="n">
        <v>5.2</v>
      </c>
      <c r="AC224" s="13" t="n">
        <v>5.2</v>
      </c>
      <c r="AD224" s="13" t="n">
        <v>5</v>
      </c>
      <c r="AE224" s="13" t="n">
        <v>5.6</v>
      </c>
      <c r="AF224" s="13">
        <f>IFERROR(ROUND(AVERAGE(AB224:AE224),1),"")</f>
        <v/>
      </c>
      <c r="AG224" s="13" t="n">
        <v>4.8</v>
      </c>
      <c r="AH224" s="13" t="n">
        <v>4.2</v>
      </c>
      <c r="AI224" s="13" t="n">
        <v>5.2</v>
      </c>
      <c r="AJ224" s="13" t="n">
        <v>5</v>
      </c>
      <c r="AK224" s="13">
        <f>IFERROR(ROUND(AVERAGE(AG224:AJ224),1),"")</f>
        <v/>
      </c>
      <c r="AL224" s="13" t="inlineStr"/>
      <c r="AM224" s="13" t="inlineStr"/>
      <c r="AN224" s="13" t="inlineStr"/>
      <c r="AO224" s="13">
        <f>IFERROR(ROUND(AVERAGE(AL224:AN224),1),"")</f>
        <v/>
      </c>
      <c r="AP224" s="13" t="n">
        <v>8.800000000000001</v>
      </c>
      <c r="AQ224" s="13" t="n">
        <v>8.4</v>
      </c>
      <c r="AR224" s="13" t="n">
        <v>5</v>
      </c>
      <c r="AS224" s="13" t="n">
        <v>9.9</v>
      </c>
      <c r="AT224" s="13">
        <f>IFERROR(ROUND(AVERAGE(AP224:AS224),1),"")</f>
        <v/>
      </c>
      <c r="AU224" s="13" t="n">
        <v>5.4</v>
      </c>
      <c r="AV224" s="13" t="n">
        <v>5.6</v>
      </c>
      <c r="AW224" s="13" t="n">
        <v>5.6</v>
      </c>
      <c r="AX224" s="13" t="n">
        <v>5.4</v>
      </c>
      <c r="AY224" s="13">
        <f>IFERROR(ROUND(AVERAGE(AU224:AX224),1),"")</f>
        <v/>
      </c>
      <c r="AZ224" s="13">
        <f>ROUND(0.19*N(Q224)+0.17*N(V224)+0.17*N(AA224)+0.1*N(AF224)+0.09*N(AK224)+0.12*N(AT224)+0.16*N(AY224),1)</f>
        <v/>
      </c>
      <c r="BA224" s="13" t="inlineStr">
        <is>
          <t>128K</t>
        </is>
      </c>
      <c r="BB224" s="13" t="n"/>
      <c r="BC224" s="13" t="inlineStr"/>
      <c r="BD224" s="13" t="inlineStr"/>
      <c r="BE224" s="13" t="inlineStr">
        <is>
          <t>low</t>
        </is>
      </c>
      <c r="BF224" s="13" t="n">
        <v>2</v>
      </c>
      <c r="BG224" s="13" t="n">
        <v>2</v>
      </c>
      <c r="BH224" s="13" t="inlineStr">
        <is>
          <t>Small local general; offline/free</t>
        </is>
      </c>
      <c r="BI224" s="13" t="inlineStr">
        <is>
          <t>Depth</t>
        </is>
      </c>
      <c r="BJ224" s="16" t="inlineStr">
        <is>
          <t>L</t>
        </is>
      </c>
      <c r="BK224" s="13" t="inlineStr">
        <is>
          <t>Local Ollama qwen3:4b; family-inherited estimate (scaled from flagship); verify before HIGH-stakes routing</t>
        </is>
      </c>
      <c r="BL224" s="13" t="inlineStr">
        <is>
          <t>2026-06-07</t>
        </is>
      </c>
    </row>
    <row r="225">
      <c r="A225" s="13" t="inlineStr">
        <is>
          <t>qwen2.5:0.5b</t>
        </is>
      </c>
      <c r="B225" s="13" t="inlineStr">
        <is>
          <t>Qwen2.5 0.5B (local)</t>
        </is>
      </c>
      <c r="C225" s="13" t="inlineStr">
        <is>
          <t>Alibaba</t>
        </is>
      </c>
      <c r="D225" s="13" t="inlineStr">
        <is>
          <t>Qwen2.5</t>
        </is>
      </c>
      <c r="E225" s="13" t="inlineStr">
        <is>
          <t>0.5b</t>
        </is>
      </c>
      <c r="F225" s="13" t="inlineStr">
        <is>
          <t>Current (local)</t>
        </is>
      </c>
      <c r="G225" s="13" t="inlineStr">
        <is>
          <t>Local (nano)</t>
        </is>
      </c>
      <c r="H225" s="13" t="inlineStr">
        <is>
          <t>Ollama (local)</t>
        </is>
      </c>
      <c r="I225" s="13" t="inlineStr">
        <is>
          <t>Local</t>
        </is>
      </c>
      <c r="J225" s="13" t="inlineStr">
        <is>
          <t>Running (free)</t>
        </is>
      </c>
      <c r="K225" s="13" t="inlineStr">
        <is>
          <t>local_free</t>
        </is>
      </c>
      <c r="L225" s="13" t="inlineStr">
        <is>
          <t>Yes</t>
        </is>
      </c>
      <c r="M225" s="13" t="n">
        <v>3.4</v>
      </c>
      <c r="N225" s="13" t="n">
        <v>3</v>
      </c>
      <c r="O225" s="13" t="n">
        <v>2.6</v>
      </c>
      <c r="P225" s="13" t="n">
        <v>3.2</v>
      </c>
      <c r="Q225" s="13">
        <f>IFERROR(ROUND(AVERAGE(M225:P225),1),"")</f>
        <v/>
      </c>
      <c r="R225" s="13" t="n">
        <v>3.2</v>
      </c>
      <c r="S225" s="13" t="n">
        <v>2.6</v>
      </c>
      <c r="T225" s="13" t="n">
        <v>2.8</v>
      </c>
      <c r="U225" s="13" t="n">
        <v>3.2</v>
      </c>
      <c r="V225" s="13">
        <f>IFERROR(ROUND(AVERAGE(R225:U225),1),"")</f>
        <v/>
      </c>
      <c r="W225" s="13" t="n">
        <v>3</v>
      </c>
      <c r="X225" s="13" t="n">
        <v>2.6</v>
      </c>
      <c r="Y225" s="13" t="n">
        <v>2.2</v>
      </c>
      <c r="Z225" s="13" t="n">
        <v>3.2</v>
      </c>
      <c r="AA225" s="13">
        <f>IFERROR(ROUND(AVERAGE(W225:Z225),1),"")</f>
        <v/>
      </c>
      <c r="AB225" s="13" t="n">
        <v>3.6</v>
      </c>
      <c r="AC225" s="13" t="n">
        <v>3.6</v>
      </c>
      <c r="AD225" s="13" t="n">
        <v>3.4</v>
      </c>
      <c r="AE225" s="13" t="n">
        <v>3.8</v>
      </c>
      <c r="AF225" s="13">
        <f>IFERROR(ROUND(AVERAGE(AB225:AE225),1),"")</f>
        <v/>
      </c>
      <c r="AG225" s="13" t="n">
        <v>3.2</v>
      </c>
      <c r="AH225" s="13" t="n">
        <v>2.8</v>
      </c>
      <c r="AI225" s="13" t="n">
        <v>3.6</v>
      </c>
      <c r="AJ225" s="13" t="n">
        <v>3.4</v>
      </c>
      <c r="AK225" s="13">
        <f>IFERROR(ROUND(AVERAGE(AG225:AJ225),1),"")</f>
        <v/>
      </c>
      <c r="AL225" s="13" t="inlineStr"/>
      <c r="AM225" s="13" t="inlineStr"/>
      <c r="AN225" s="13" t="inlineStr"/>
      <c r="AO225" s="13">
        <f>IFERROR(ROUND(AVERAGE(AL225:AN225),1),"")</f>
        <v/>
      </c>
      <c r="AP225" s="13" t="n">
        <v>9.6</v>
      </c>
      <c r="AQ225" s="13" t="n">
        <v>9.4</v>
      </c>
      <c r="AR225" s="13" t="n">
        <v>4</v>
      </c>
      <c r="AS225" s="13" t="n">
        <v>10</v>
      </c>
      <c r="AT225" s="13">
        <f>IFERROR(ROUND(AVERAGE(AP225:AS225),1),"")</f>
        <v/>
      </c>
      <c r="AU225" s="13" t="n">
        <v>3.8</v>
      </c>
      <c r="AV225" s="13" t="n">
        <v>4</v>
      </c>
      <c r="AW225" s="13" t="n">
        <v>4.2</v>
      </c>
      <c r="AX225" s="13" t="n">
        <v>3.8</v>
      </c>
      <c r="AY225" s="13">
        <f>IFERROR(ROUND(AVERAGE(AU225:AX225),1),"")</f>
        <v/>
      </c>
      <c r="AZ225" s="13">
        <f>ROUND(0.19*N(Q225)+0.17*N(V225)+0.17*N(AA225)+0.1*N(AF225)+0.09*N(AK225)+0.12*N(AT225)+0.16*N(AY225),1)</f>
        <v/>
      </c>
      <c r="BA225" s="13" t="inlineStr">
        <is>
          <t>32K</t>
        </is>
      </c>
      <c r="BB225" s="13" t="n"/>
      <c r="BC225" s="13" t="inlineStr"/>
      <c r="BD225" s="13" t="inlineStr"/>
      <c r="BE225" s="13" t="inlineStr">
        <is>
          <t>low</t>
        </is>
      </c>
      <c r="BF225" s="13" t="n">
        <v>1</v>
      </c>
      <c r="BG225" s="13" t="n">
        <v>1</v>
      </c>
      <c r="BH225" s="13" t="inlineStr">
        <is>
          <t>Nano local; smoke-tests, Hermes default</t>
        </is>
      </c>
      <c r="BI225" s="13" t="inlineStr">
        <is>
          <t>Real work</t>
        </is>
      </c>
      <c r="BJ225" s="16" t="inlineStr">
        <is>
          <t>L</t>
        </is>
      </c>
      <c r="BK225" s="13" t="inlineStr">
        <is>
          <t>Local Ollama qwen2.5:0.5b (Hermes primary); family-inherited estimate (scaled from flagship); verify before HIGH-stakes routing</t>
        </is>
      </c>
      <c r="BL225" s="13" t="inlineStr">
        <is>
          <t>2026-06-07</t>
        </is>
      </c>
    </row>
    <row r="226">
      <c r="A226" s="13" t="inlineStr">
        <is>
          <t>mai-thinking-1</t>
        </is>
      </c>
      <c r="B226" s="13" t="inlineStr">
        <is>
          <t>MAI-Thinking-1</t>
        </is>
      </c>
      <c r="C226" s="13" t="inlineStr">
        <is>
          <t>Microsoft</t>
        </is>
      </c>
      <c r="D226" s="13" t="inlineStr">
        <is>
          <t>MAI</t>
        </is>
      </c>
      <c r="E226" s="13" t="inlineStr">
        <is>
          <t>thinking-1</t>
        </is>
      </c>
      <c r="F226" s="13" t="inlineStr">
        <is>
          <t>Current (new 2026-06-02)</t>
        </is>
      </c>
      <c r="G226" s="13" t="inlineStr">
        <is>
          <t>Reasoning Flagship</t>
        </is>
      </c>
      <c r="H226" s="13" t="inlineStr">
        <is>
          <t>GitHub Models (AI Toolkit)</t>
        </is>
      </c>
      <c r="I226" s="13" t="inlineStr">
        <is>
          <t>Aggregator</t>
        </is>
      </c>
      <c r="J226" s="13" t="inlineStr">
        <is>
          <t>Configured</t>
        </is>
      </c>
      <c r="K226" s="13" t="inlineStr">
        <is>
          <t>subscription_included</t>
        </is>
      </c>
      <c r="L226" s="13" t="inlineStr">
        <is>
          <t>No</t>
        </is>
      </c>
      <c r="M226" s="13" t="n">
        <v>9</v>
      </c>
      <c r="N226" s="13" t="n">
        <v>9.5</v>
      </c>
      <c r="O226" s="13" t="n">
        <v>8.6</v>
      </c>
      <c r="P226" s="13" t="n">
        <v>8.4</v>
      </c>
      <c r="Q226" s="13">
        <f>IFERROR(ROUND(AVERAGE(M226:P226),1),"")</f>
        <v/>
      </c>
      <c r="R226" s="13" t="n">
        <v>8.6</v>
      </c>
      <c r="S226" s="13" t="n">
        <v>8.199999999999999</v>
      </c>
      <c r="T226" s="13" t="n">
        <v>8.199999999999999</v>
      </c>
      <c r="U226" s="13" t="n">
        <v>8.6</v>
      </c>
      <c r="V226" s="13">
        <f>IFERROR(ROUND(AVERAGE(R226:U226),1),"")</f>
        <v/>
      </c>
      <c r="W226" s="13" t="n">
        <v>8.4</v>
      </c>
      <c r="X226" s="13" t="n">
        <v>8.4</v>
      </c>
      <c r="Y226" s="13" t="n">
        <v>8</v>
      </c>
      <c r="Z226" s="13" t="n">
        <v>8.6</v>
      </c>
      <c r="AA226" s="13">
        <f>IFERROR(ROUND(AVERAGE(W226:Z226),1),"")</f>
        <v/>
      </c>
      <c r="AB226" s="13" t="n">
        <v>8</v>
      </c>
      <c r="AC226" s="13" t="n">
        <v>8</v>
      </c>
      <c r="AD226" s="13" t="n">
        <v>7.8</v>
      </c>
      <c r="AE226" s="13" t="n">
        <v>8</v>
      </c>
      <c r="AF226" s="13">
        <f>IFERROR(ROUND(AVERAGE(AB226:AE226),1),"")</f>
        <v/>
      </c>
      <c r="AG226" s="13" t="n">
        <v>8.199999999999999</v>
      </c>
      <c r="AH226" s="13" t="n">
        <v>7.6</v>
      </c>
      <c r="AI226" s="13" t="n">
        <v>8.4</v>
      </c>
      <c r="AJ226" s="13" t="n">
        <v>8.800000000000001</v>
      </c>
      <c r="AK226" s="13">
        <f>IFERROR(ROUND(AVERAGE(AG226:AJ226),1),"")</f>
        <v/>
      </c>
      <c r="AL226" s="13" t="inlineStr"/>
      <c r="AM226" s="13" t="inlineStr"/>
      <c r="AN226" s="13" t="inlineStr"/>
      <c r="AO226" s="13">
        <f>IFERROR(ROUND(AVERAGE(AL226:AN226),1),"")</f>
        <v/>
      </c>
      <c r="AP226" s="13" t="n">
        <v>7</v>
      </c>
      <c r="AQ226" s="13" t="n">
        <v>7</v>
      </c>
      <c r="AR226" s="13" t="n">
        <v>8</v>
      </c>
      <c r="AS226" s="13" t="n">
        <v>7.5</v>
      </c>
      <c r="AT226" s="13">
        <f>IFERROR(ROUND(AVERAGE(AP226:AS226),1),"")</f>
        <v/>
      </c>
      <c r="AU226" s="13" t="n">
        <v>8.6</v>
      </c>
      <c r="AV226" s="13" t="n">
        <v>8.4</v>
      </c>
      <c r="AW226" s="13" t="n">
        <v>8.4</v>
      </c>
      <c r="AX226" s="13" t="n">
        <v>8.800000000000001</v>
      </c>
      <c r="AY226" s="13">
        <f>IFERROR(ROUND(AVERAGE(AU226:AX226),1),"")</f>
        <v/>
      </c>
      <c r="AZ226" s="13">
        <f>ROUND(0.19*N(Q226)+0.17*N(V226)+0.17*N(AA226)+0.1*N(AF226)+0.09*N(AK226)+0.12*N(AT226)+0.16*N(AY226),1)</f>
        <v/>
      </c>
      <c r="BA226" s="13" t="inlineStr">
        <is>
          <t>256K</t>
        </is>
      </c>
      <c r="BB226" s="13" t="n"/>
      <c r="BC226" s="13" t="inlineStr"/>
      <c r="BD226" s="13" t="inlineStr"/>
      <c r="BE226" s="13" t="inlineStr">
        <is>
          <t>high</t>
        </is>
      </c>
      <c r="BF226" s="13" t="n">
        <v>5</v>
      </c>
      <c r="BG226" s="13" t="n">
        <v>4</v>
      </c>
      <c r="BH226" s="13" t="inlineStr">
        <is>
          <t>In-house reasoning/math (no OpenAI distill); Copilot-native reasoning</t>
        </is>
      </c>
      <c r="BI226" s="13" t="inlineStr">
        <is>
          <t>Multimodal; ultra-low-latency</t>
        </is>
      </c>
      <c r="BJ226" s="14" t="inlineStr">
        <is>
          <t>H</t>
        </is>
      </c>
      <c r="BK226" s="13" t="inlineStr">
        <is>
          <t>AIME 2025 97.0% / 2026 94.5%; matches Opus 4.6 SWE-bench Pro; beats Sonnet 4.6 blind; 35B-active MoE; benchmark-anchored (AA Index, SWE-bench, GPQA, ARC-AGI-2, Aider, MMMU 2026-06)</t>
        </is>
      </c>
      <c r="BL226" s="13" t="inlineStr">
        <is>
          <t>2026-06-07</t>
        </is>
      </c>
    </row>
    <row r="227">
      <c r="A227" s="13" t="inlineStr">
        <is>
          <t>mai-thinking-1</t>
        </is>
      </c>
      <c r="B227" s="13" t="inlineStr">
        <is>
          <t>MAI-Thinking-1</t>
        </is>
      </c>
      <c r="C227" s="13" t="inlineStr">
        <is>
          <t>Microsoft</t>
        </is>
      </c>
      <c r="D227" s="13" t="inlineStr">
        <is>
          <t>MAI</t>
        </is>
      </c>
      <c r="E227" s="13" t="inlineStr">
        <is>
          <t>thinking-1</t>
        </is>
      </c>
      <c r="F227" s="13" t="inlineStr">
        <is>
          <t>Current (new 2026-06-02)</t>
        </is>
      </c>
      <c r="G227" s="13" t="inlineStr">
        <is>
          <t>Reasoning Flagship</t>
        </is>
      </c>
      <c r="H227" s="13" t="inlineStr">
        <is>
          <t>Azure AI Foundry</t>
        </is>
      </c>
      <c r="I227" s="13" t="inlineStr">
        <is>
          <t>Aggregator</t>
        </is>
      </c>
      <c r="J227" s="13" t="inlineStr">
        <is>
          <t>Not credentialed</t>
        </is>
      </c>
      <c r="K227" s="13" t="inlineStr">
        <is>
          <t>metered (not configured)</t>
        </is>
      </c>
      <c r="L227" s="13" t="inlineStr">
        <is>
          <t>No</t>
        </is>
      </c>
      <c r="M227" s="13" t="n">
        <v>9</v>
      </c>
      <c r="N227" s="13" t="n">
        <v>9.5</v>
      </c>
      <c r="O227" s="13" t="n">
        <v>8.6</v>
      </c>
      <c r="P227" s="13" t="n">
        <v>8.4</v>
      </c>
      <c r="Q227" s="13">
        <f>IFERROR(ROUND(AVERAGE(M227:P227),1),"")</f>
        <v/>
      </c>
      <c r="R227" s="13" t="n">
        <v>8.6</v>
      </c>
      <c r="S227" s="13" t="n">
        <v>8.199999999999999</v>
      </c>
      <c r="T227" s="13" t="n">
        <v>8.199999999999999</v>
      </c>
      <c r="U227" s="13" t="n">
        <v>8.6</v>
      </c>
      <c r="V227" s="13">
        <f>IFERROR(ROUND(AVERAGE(R227:U227),1),"")</f>
        <v/>
      </c>
      <c r="W227" s="13" t="n">
        <v>8.4</v>
      </c>
      <c r="X227" s="13" t="n">
        <v>8.4</v>
      </c>
      <c r="Y227" s="13" t="n">
        <v>8</v>
      </c>
      <c r="Z227" s="13" t="n">
        <v>8.6</v>
      </c>
      <c r="AA227" s="13">
        <f>IFERROR(ROUND(AVERAGE(W227:Z227),1),"")</f>
        <v/>
      </c>
      <c r="AB227" s="13" t="n">
        <v>8</v>
      </c>
      <c r="AC227" s="13" t="n">
        <v>8</v>
      </c>
      <c r="AD227" s="13" t="n">
        <v>7.8</v>
      </c>
      <c r="AE227" s="13" t="n">
        <v>8</v>
      </c>
      <c r="AF227" s="13">
        <f>IFERROR(ROUND(AVERAGE(AB227:AE227),1),"")</f>
        <v/>
      </c>
      <c r="AG227" s="13" t="n">
        <v>8.199999999999999</v>
      </c>
      <c r="AH227" s="13" t="n">
        <v>7.6</v>
      </c>
      <c r="AI227" s="13" t="n">
        <v>8.4</v>
      </c>
      <c r="AJ227" s="13" t="n">
        <v>8.800000000000001</v>
      </c>
      <c r="AK227" s="13">
        <f>IFERROR(ROUND(AVERAGE(AG227:AJ227),1),"")</f>
        <v/>
      </c>
      <c r="AL227" s="13" t="inlineStr"/>
      <c r="AM227" s="13" t="inlineStr"/>
      <c r="AN227" s="13" t="inlineStr"/>
      <c r="AO227" s="13">
        <f>IFERROR(ROUND(AVERAGE(AL227:AN227),1),"")</f>
        <v/>
      </c>
      <c r="AP227" s="13" t="n">
        <v>7</v>
      </c>
      <c r="AQ227" s="13" t="n">
        <v>7</v>
      </c>
      <c r="AR227" s="13" t="n">
        <v>8</v>
      </c>
      <c r="AS227" s="13" t="n">
        <v>7.5</v>
      </c>
      <c r="AT227" s="13">
        <f>IFERROR(ROUND(AVERAGE(AP227:AS227),1),"")</f>
        <v/>
      </c>
      <c r="AU227" s="13" t="n">
        <v>8.6</v>
      </c>
      <c r="AV227" s="13" t="n">
        <v>8.4</v>
      </c>
      <c r="AW227" s="13" t="n">
        <v>8.4</v>
      </c>
      <c r="AX227" s="13" t="n">
        <v>8.800000000000001</v>
      </c>
      <c r="AY227" s="13">
        <f>IFERROR(ROUND(AVERAGE(AU227:AX227),1),"")</f>
        <v/>
      </c>
      <c r="AZ227" s="13">
        <f>ROUND(0.19*N(Q227)+0.17*N(V227)+0.17*N(AA227)+0.1*N(AF227)+0.09*N(AK227)+0.12*N(AT227)+0.16*N(AY227),1)</f>
        <v/>
      </c>
      <c r="BA227" s="13" t="inlineStr">
        <is>
          <t>256K</t>
        </is>
      </c>
      <c r="BB227" s="13" t="n"/>
      <c r="BC227" s="13" t="inlineStr"/>
      <c r="BD227" s="13" t="inlineStr"/>
      <c r="BE227" s="13" t="inlineStr">
        <is>
          <t>high</t>
        </is>
      </c>
      <c r="BF227" s="13" t="n">
        <v>5</v>
      </c>
      <c r="BG227" s="13" t="n">
        <v>4</v>
      </c>
      <c r="BH227" s="13" t="inlineStr">
        <is>
          <t>In-house reasoning/math (no OpenAI distill); Copilot-native reasoning</t>
        </is>
      </c>
      <c r="BI227" s="13" t="inlineStr">
        <is>
          <t>Multimodal; ultra-low-latency</t>
        </is>
      </c>
      <c r="BJ227" s="14" t="inlineStr">
        <is>
          <t>H</t>
        </is>
      </c>
      <c r="BK227" s="13" t="inlineStr">
        <is>
          <t>AIME 2025 97.0% / 2026 94.5%; matches Opus 4.6 SWE-bench Pro; beats Sonnet 4.6 blind; 35B-active MoE; benchmark-anchored (AA Index, SWE-bench, GPQA, ARC-AGI-2, Aider, MMMU 2026-06)</t>
        </is>
      </c>
      <c r="BL227" s="13" t="inlineStr">
        <is>
          <t>2026-06-07</t>
        </is>
      </c>
    </row>
    <row r="228">
      <c r="A228" s="13" t="inlineStr">
        <is>
          <t>mai-thinking-1</t>
        </is>
      </c>
      <c r="B228" s="13" t="inlineStr">
        <is>
          <t>MAI-Thinking-1</t>
        </is>
      </c>
      <c r="C228" s="13" t="inlineStr">
        <is>
          <t>Microsoft</t>
        </is>
      </c>
      <c r="D228" s="13" t="inlineStr">
        <is>
          <t>MAI</t>
        </is>
      </c>
      <c r="E228" s="13" t="inlineStr">
        <is>
          <t>thinking-1</t>
        </is>
      </c>
      <c r="F228" s="13" t="inlineStr">
        <is>
          <t>Current (new 2026-06-02)</t>
        </is>
      </c>
      <c r="G228" s="13" t="inlineStr">
        <is>
          <t>Reasoning Flagship</t>
        </is>
      </c>
      <c r="H228" s="13" t="inlineStr">
        <is>
          <t>GitHub Copilot CLI</t>
        </is>
      </c>
      <c r="I228" s="13" t="inlineStr">
        <is>
          <t>CLI</t>
        </is>
      </c>
      <c r="J228" s="13" t="inlineStr">
        <is>
          <t>Working (premium req)</t>
        </is>
      </c>
      <c r="K228" s="13" t="inlineStr">
        <is>
          <t>subscription_included</t>
        </is>
      </c>
      <c r="L228" s="13" t="inlineStr">
        <is>
          <t>No</t>
        </is>
      </c>
      <c r="M228" s="13" t="n">
        <v>9</v>
      </c>
      <c r="N228" s="13" t="n">
        <v>9.5</v>
      </c>
      <c r="O228" s="13" t="n">
        <v>8.6</v>
      </c>
      <c r="P228" s="13" t="n">
        <v>8.4</v>
      </c>
      <c r="Q228" s="13">
        <f>IFERROR(ROUND(AVERAGE(M228:P228),1),"")</f>
        <v/>
      </c>
      <c r="R228" s="13" t="n">
        <v>8.6</v>
      </c>
      <c r="S228" s="13" t="n">
        <v>8.199999999999999</v>
      </c>
      <c r="T228" s="13" t="n">
        <v>8.199999999999999</v>
      </c>
      <c r="U228" s="13" t="n">
        <v>8.6</v>
      </c>
      <c r="V228" s="13">
        <f>IFERROR(ROUND(AVERAGE(R228:U228),1),"")</f>
        <v/>
      </c>
      <c r="W228" s="13" t="n">
        <v>8.4</v>
      </c>
      <c r="X228" s="13" t="n">
        <v>8.4</v>
      </c>
      <c r="Y228" s="13" t="n">
        <v>8</v>
      </c>
      <c r="Z228" s="13" t="n">
        <v>8.6</v>
      </c>
      <c r="AA228" s="13">
        <f>IFERROR(ROUND(AVERAGE(W228:Z228),1),"")</f>
        <v/>
      </c>
      <c r="AB228" s="13" t="n">
        <v>8</v>
      </c>
      <c r="AC228" s="13" t="n">
        <v>8</v>
      </c>
      <c r="AD228" s="13" t="n">
        <v>7.8</v>
      </c>
      <c r="AE228" s="13" t="n">
        <v>8</v>
      </c>
      <c r="AF228" s="13">
        <f>IFERROR(ROUND(AVERAGE(AB228:AE228),1),"")</f>
        <v/>
      </c>
      <c r="AG228" s="13" t="n">
        <v>8.199999999999999</v>
      </c>
      <c r="AH228" s="13" t="n">
        <v>7.6</v>
      </c>
      <c r="AI228" s="13" t="n">
        <v>8.4</v>
      </c>
      <c r="AJ228" s="13" t="n">
        <v>8.800000000000001</v>
      </c>
      <c r="AK228" s="13">
        <f>IFERROR(ROUND(AVERAGE(AG228:AJ228),1),"")</f>
        <v/>
      </c>
      <c r="AL228" s="13" t="inlineStr"/>
      <c r="AM228" s="13" t="inlineStr"/>
      <c r="AN228" s="13" t="inlineStr"/>
      <c r="AO228" s="13">
        <f>IFERROR(ROUND(AVERAGE(AL228:AN228),1),"")</f>
        <v/>
      </c>
      <c r="AP228" s="13" t="n">
        <v>7</v>
      </c>
      <c r="AQ228" s="13" t="n">
        <v>7</v>
      </c>
      <c r="AR228" s="13" t="n">
        <v>8</v>
      </c>
      <c r="AS228" s="13" t="n">
        <v>7.5</v>
      </c>
      <c r="AT228" s="13">
        <f>IFERROR(ROUND(AVERAGE(AP228:AS228),1),"")</f>
        <v/>
      </c>
      <c r="AU228" s="13" t="n">
        <v>8.6</v>
      </c>
      <c r="AV228" s="13" t="n">
        <v>8.4</v>
      </c>
      <c r="AW228" s="13" t="n">
        <v>8.4</v>
      </c>
      <c r="AX228" s="13" t="n">
        <v>8.800000000000001</v>
      </c>
      <c r="AY228" s="13">
        <f>IFERROR(ROUND(AVERAGE(AU228:AX228),1),"")</f>
        <v/>
      </c>
      <c r="AZ228" s="13">
        <f>ROUND(0.19*N(Q228)+0.17*N(V228)+0.17*N(AA228)+0.1*N(AF228)+0.09*N(AK228)+0.12*N(AT228)+0.16*N(AY228),1)</f>
        <v/>
      </c>
      <c r="BA228" s="13" t="inlineStr">
        <is>
          <t>256K</t>
        </is>
      </c>
      <c r="BB228" s="13" t="n"/>
      <c r="BC228" s="13" t="inlineStr"/>
      <c r="BD228" s="13" t="inlineStr"/>
      <c r="BE228" s="13" t="inlineStr">
        <is>
          <t>high</t>
        </is>
      </c>
      <c r="BF228" s="13" t="n">
        <v>5</v>
      </c>
      <c r="BG228" s="13" t="n">
        <v>4</v>
      </c>
      <c r="BH228" s="13" t="inlineStr">
        <is>
          <t>In-house reasoning/math (no OpenAI distill); Copilot-native reasoning</t>
        </is>
      </c>
      <c r="BI228" s="13" t="inlineStr">
        <is>
          <t>Multimodal; ultra-low-latency</t>
        </is>
      </c>
      <c r="BJ228" s="14" t="inlineStr">
        <is>
          <t>H</t>
        </is>
      </c>
      <c r="BK228" s="13" t="inlineStr">
        <is>
          <t>AIME 2025 97.0% / 2026 94.5%; matches Opus 4.6 SWE-bench Pro; beats Sonnet 4.6 blind; 35B-active MoE; benchmark-anchored (AA Index, SWE-bench, GPQA, ARC-AGI-2, Aider, MMMU 2026-06)</t>
        </is>
      </c>
      <c r="BL228" s="13" t="inlineStr">
        <is>
          <t>2026-06-07</t>
        </is>
      </c>
    </row>
    <row r="229">
      <c r="A229" s="13" t="inlineStr">
        <is>
          <t>mai-code-1-flash</t>
        </is>
      </c>
      <c r="B229" s="13" t="inlineStr">
        <is>
          <t>MAI-Code-1-Flash</t>
        </is>
      </c>
      <c r="C229" s="13" t="inlineStr">
        <is>
          <t>Microsoft</t>
        </is>
      </c>
      <c r="D229" s="13" t="inlineStr">
        <is>
          <t>MAI</t>
        </is>
      </c>
      <c r="E229" s="13" t="inlineStr">
        <is>
          <t>code-1-flash</t>
        </is>
      </c>
      <c r="F229" s="13" t="inlineStr">
        <is>
          <t>Current (new 2026-06-02)</t>
        </is>
      </c>
      <c r="G229" s="13" t="inlineStr">
        <is>
          <t>Coder (fast/cheap)</t>
        </is>
      </c>
      <c r="H229" s="13" t="inlineStr">
        <is>
          <t>GitHub Copilot CLI</t>
        </is>
      </c>
      <c r="I229" s="13" t="inlineStr">
        <is>
          <t>CLI</t>
        </is>
      </c>
      <c r="J229" s="13" t="inlineStr">
        <is>
          <t>Working (premium req)</t>
        </is>
      </c>
      <c r="K229" s="13" t="inlineStr">
        <is>
          <t>subscription_included</t>
        </is>
      </c>
      <c r="L229" s="13" t="inlineStr">
        <is>
          <t>No</t>
        </is>
      </c>
      <c r="M229" s="13" t="n">
        <v>6</v>
      </c>
      <c r="N229" s="13" t="n">
        <v>5.8</v>
      </c>
      <c r="O229" s="13" t="n">
        <v>5.4</v>
      </c>
      <c r="P229" s="13" t="n">
        <v>6</v>
      </c>
      <c r="Q229" s="13">
        <f>IFERROR(ROUND(AVERAGE(M229:P229),1),"")</f>
        <v/>
      </c>
      <c r="R229" s="13" t="n">
        <v>7</v>
      </c>
      <c r="S229" s="13" t="n">
        <v>5.1</v>
      </c>
      <c r="T229" s="13" t="n">
        <v>6.2</v>
      </c>
      <c r="U229" s="13" t="n">
        <v>7.2</v>
      </c>
      <c r="V229" s="13">
        <f>IFERROR(ROUND(AVERAGE(R229:U229),1),"")</f>
        <v/>
      </c>
      <c r="W229" s="13" t="n">
        <v>7</v>
      </c>
      <c r="X229" s="13" t="n">
        <v>6.4</v>
      </c>
      <c r="Y229" s="13" t="n">
        <v>6</v>
      </c>
      <c r="Z229" s="13" t="n">
        <v>8</v>
      </c>
      <c r="AA229" s="13">
        <f>IFERROR(ROUND(AVERAGE(W229:Z229),1),"")</f>
        <v/>
      </c>
      <c r="AB229" s="13" t="n">
        <v>5.8</v>
      </c>
      <c r="AC229" s="13" t="n">
        <v>6</v>
      </c>
      <c r="AD229" s="13" t="n">
        <v>6</v>
      </c>
      <c r="AE229" s="13" t="n">
        <v>5.8</v>
      </c>
      <c r="AF229" s="13">
        <f>IFERROR(ROUND(AVERAGE(AB229:AE229),1),"")</f>
        <v/>
      </c>
      <c r="AG229" s="13" t="n">
        <v>6</v>
      </c>
      <c r="AH229" s="13" t="n">
        <v>5.4</v>
      </c>
      <c r="AI229" s="13" t="n">
        <v>6.6</v>
      </c>
      <c r="AJ229" s="13" t="n">
        <v>6</v>
      </c>
      <c r="AK229" s="13">
        <f>IFERROR(ROUND(AVERAGE(AG229:AJ229),1),"")</f>
        <v/>
      </c>
      <c r="AL229" s="13" t="inlineStr"/>
      <c r="AM229" s="13" t="inlineStr"/>
      <c r="AN229" s="13" t="inlineStr"/>
      <c r="AO229" s="13">
        <f>IFERROR(ROUND(AVERAGE(AL229:AN229),1),"")</f>
        <v/>
      </c>
      <c r="AP229" s="13" t="n">
        <v>9</v>
      </c>
      <c r="AQ229" s="13" t="n">
        <v>9</v>
      </c>
      <c r="AR229" s="13" t="n">
        <v>6</v>
      </c>
      <c r="AS229" s="13" t="n">
        <v>9.5</v>
      </c>
      <c r="AT229" s="13">
        <f>IFERROR(ROUND(AVERAGE(AP229:AS229),1),"")</f>
        <v/>
      </c>
      <c r="AU229" s="13" t="n">
        <v>7</v>
      </c>
      <c r="AV229" s="13" t="n">
        <v>7.2</v>
      </c>
      <c r="AW229" s="13" t="n">
        <v>7.4</v>
      </c>
      <c r="AX229" s="13" t="n">
        <v>7</v>
      </c>
      <c r="AY229" s="13">
        <f>IFERROR(ROUND(AVERAGE(AU229:AX229),1),"")</f>
        <v/>
      </c>
      <c r="AZ229" s="13">
        <f>ROUND(0.19*N(Q229)+0.17*N(V229)+0.17*N(AA229)+0.1*N(AF229)+0.09*N(AK229)+0.12*N(AT229)+0.16*N(AY229),1)</f>
        <v/>
      </c>
      <c r="BA229" s="13" t="inlineStr">
        <is>
          <t>128K</t>
        </is>
      </c>
      <c r="BB229" s="13" t="n"/>
      <c r="BC229" s="13" t="inlineStr"/>
      <c r="BD229" s="13" t="inlineStr"/>
      <c r="BE229" s="13" t="inlineStr">
        <is>
          <t>medium</t>
        </is>
      </c>
      <c r="BF229" s="13" t="n">
        <v>4</v>
      </c>
      <c r="BG229" s="13" t="n">
        <v>3</v>
      </c>
      <c r="BH229" s="13" t="inlineStr">
        <is>
          <t>Copilot/VS Code-native fast coding; cheaper than Haiku 4.5</t>
        </is>
      </c>
      <c r="BI229" s="13" t="inlineStr">
        <is>
          <t>Deep reasoning; long-horizon autonomy</t>
        </is>
      </c>
      <c r="BJ229" s="14" t="inlineStr">
        <is>
          <t>H</t>
        </is>
      </c>
      <c r="BK229" s="13" t="inlineStr">
        <is>
          <t>SWE-bench Pro 51.2% (vs Haiku 35.2%); +28.9 IFBench vs Haiku; 5B; benchmark-anchored (AA Index, SWE-bench, GPQA, ARC-AGI-2, Aider, MMMU 2026-06)</t>
        </is>
      </c>
      <c r="BL229" s="13" t="inlineStr">
        <is>
          <t>2026-06-07</t>
        </is>
      </c>
    </row>
    <row r="230">
      <c r="A230" s="13" t="inlineStr">
        <is>
          <t>mai-code-1-flash</t>
        </is>
      </c>
      <c r="B230" s="13" t="inlineStr">
        <is>
          <t>MAI-Code-1-Flash</t>
        </is>
      </c>
      <c r="C230" s="13" t="inlineStr">
        <is>
          <t>Microsoft</t>
        </is>
      </c>
      <c r="D230" s="13" t="inlineStr">
        <is>
          <t>MAI</t>
        </is>
      </c>
      <c r="E230" s="13" t="inlineStr">
        <is>
          <t>code-1-flash</t>
        </is>
      </c>
      <c r="F230" s="13" t="inlineStr">
        <is>
          <t>Current (new 2026-06-02)</t>
        </is>
      </c>
      <c r="G230" s="13" t="inlineStr">
        <is>
          <t>Coder (fast/cheap)</t>
        </is>
      </c>
      <c r="H230" s="13" t="inlineStr">
        <is>
          <t>GitHub Models (AI Toolkit)</t>
        </is>
      </c>
      <c r="I230" s="13" t="inlineStr">
        <is>
          <t>Aggregator</t>
        </is>
      </c>
      <c r="J230" s="13" t="inlineStr">
        <is>
          <t>Configured</t>
        </is>
      </c>
      <c r="K230" s="13" t="inlineStr">
        <is>
          <t>subscription_included</t>
        </is>
      </c>
      <c r="L230" s="13" t="inlineStr">
        <is>
          <t>No</t>
        </is>
      </c>
      <c r="M230" s="13" t="n">
        <v>6</v>
      </c>
      <c r="N230" s="13" t="n">
        <v>5.8</v>
      </c>
      <c r="O230" s="13" t="n">
        <v>5.4</v>
      </c>
      <c r="P230" s="13" t="n">
        <v>6</v>
      </c>
      <c r="Q230" s="13">
        <f>IFERROR(ROUND(AVERAGE(M230:P230),1),"")</f>
        <v/>
      </c>
      <c r="R230" s="13" t="n">
        <v>7</v>
      </c>
      <c r="S230" s="13" t="n">
        <v>5.1</v>
      </c>
      <c r="T230" s="13" t="n">
        <v>6.2</v>
      </c>
      <c r="U230" s="13" t="n">
        <v>7.2</v>
      </c>
      <c r="V230" s="13">
        <f>IFERROR(ROUND(AVERAGE(R230:U230),1),"")</f>
        <v/>
      </c>
      <c r="W230" s="13" t="n">
        <v>7</v>
      </c>
      <c r="X230" s="13" t="n">
        <v>6.4</v>
      </c>
      <c r="Y230" s="13" t="n">
        <v>6</v>
      </c>
      <c r="Z230" s="13" t="n">
        <v>8</v>
      </c>
      <c r="AA230" s="13">
        <f>IFERROR(ROUND(AVERAGE(W230:Z230),1),"")</f>
        <v/>
      </c>
      <c r="AB230" s="13" t="n">
        <v>5.8</v>
      </c>
      <c r="AC230" s="13" t="n">
        <v>6</v>
      </c>
      <c r="AD230" s="13" t="n">
        <v>6</v>
      </c>
      <c r="AE230" s="13" t="n">
        <v>5.8</v>
      </c>
      <c r="AF230" s="13">
        <f>IFERROR(ROUND(AVERAGE(AB230:AE230),1),"")</f>
        <v/>
      </c>
      <c r="AG230" s="13" t="n">
        <v>6</v>
      </c>
      <c r="AH230" s="13" t="n">
        <v>5.4</v>
      </c>
      <c r="AI230" s="13" t="n">
        <v>6.6</v>
      </c>
      <c r="AJ230" s="13" t="n">
        <v>6</v>
      </c>
      <c r="AK230" s="13">
        <f>IFERROR(ROUND(AVERAGE(AG230:AJ230),1),"")</f>
        <v/>
      </c>
      <c r="AL230" s="13" t="inlineStr"/>
      <c r="AM230" s="13" t="inlineStr"/>
      <c r="AN230" s="13" t="inlineStr"/>
      <c r="AO230" s="13">
        <f>IFERROR(ROUND(AVERAGE(AL230:AN230),1),"")</f>
        <v/>
      </c>
      <c r="AP230" s="13" t="n">
        <v>9</v>
      </c>
      <c r="AQ230" s="13" t="n">
        <v>9</v>
      </c>
      <c r="AR230" s="13" t="n">
        <v>6</v>
      </c>
      <c r="AS230" s="13" t="n">
        <v>9.5</v>
      </c>
      <c r="AT230" s="13">
        <f>IFERROR(ROUND(AVERAGE(AP230:AS230),1),"")</f>
        <v/>
      </c>
      <c r="AU230" s="13" t="n">
        <v>7</v>
      </c>
      <c r="AV230" s="13" t="n">
        <v>7.2</v>
      </c>
      <c r="AW230" s="13" t="n">
        <v>7.4</v>
      </c>
      <c r="AX230" s="13" t="n">
        <v>7</v>
      </c>
      <c r="AY230" s="13">
        <f>IFERROR(ROUND(AVERAGE(AU230:AX230),1),"")</f>
        <v/>
      </c>
      <c r="AZ230" s="13">
        <f>ROUND(0.19*N(Q230)+0.17*N(V230)+0.17*N(AA230)+0.1*N(AF230)+0.09*N(AK230)+0.12*N(AT230)+0.16*N(AY230),1)</f>
        <v/>
      </c>
      <c r="BA230" s="13" t="inlineStr">
        <is>
          <t>128K</t>
        </is>
      </c>
      <c r="BB230" s="13" t="n"/>
      <c r="BC230" s="13" t="inlineStr"/>
      <c r="BD230" s="13" t="inlineStr"/>
      <c r="BE230" s="13" t="inlineStr">
        <is>
          <t>medium</t>
        </is>
      </c>
      <c r="BF230" s="13" t="n">
        <v>4</v>
      </c>
      <c r="BG230" s="13" t="n">
        <v>3</v>
      </c>
      <c r="BH230" s="13" t="inlineStr">
        <is>
          <t>Copilot/VS Code-native fast coding; cheaper than Haiku 4.5</t>
        </is>
      </c>
      <c r="BI230" s="13" t="inlineStr">
        <is>
          <t>Deep reasoning; long-horizon autonomy</t>
        </is>
      </c>
      <c r="BJ230" s="14" t="inlineStr">
        <is>
          <t>H</t>
        </is>
      </c>
      <c r="BK230" s="13" t="inlineStr">
        <is>
          <t>SWE-bench Pro 51.2% (vs Haiku 35.2%); +28.9 IFBench vs Haiku; 5B; benchmark-anchored (AA Index, SWE-bench, GPQA, ARC-AGI-2, Aider, MMMU 2026-06)</t>
        </is>
      </c>
      <c r="BL230" s="13" t="inlineStr">
        <is>
          <t>2026-06-07</t>
        </is>
      </c>
    </row>
    <row r="231">
      <c r="A231" s="13" t="inlineStr">
        <is>
          <t>mai-code-1-flash</t>
        </is>
      </c>
      <c r="B231" s="13" t="inlineStr">
        <is>
          <t>MAI-Code-1-Flash</t>
        </is>
      </c>
      <c r="C231" s="13" t="inlineStr">
        <is>
          <t>Microsoft</t>
        </is>
      </c>
      <c r="D231" s="13" t="inlineStr">
        <is>
          <t>MAI</t>
        </is>
      </c>
      <c r="E231" s="13" t="inlineStr">
        <is>
          <t>code-1-flash</t>
        </is>
      </c>
      <c r="F231" s="13" t="inlineStr">
        <is>
          <t>Current (new 2026-06-02)</t>
        </is>
      </c>
      <c r="G231" s="13" t="inlineStr">
        <is>
          <t>Coder (fast/cheap)</t>
        </is>
      </c>
      <c r="H231" s="13" t="inlineStr">
        <is>
          <t>Azure AI Foundry</t>
        </is>
      </c>
      <c r="I231" s="13" t="inlineStr">
        <is>
          <t>Aggregator</t>
        </is>
      </c>
      <c r="J231" s="13" t="inlineStr">
        <is>
          <t>Not credentialed</t>
        </is>
      </c>
      <c r="K231" s="13" t="inlineStr">
        <is>
          <t>metered (not configured)</t>
        </is>
      </c>
      <c r="L231" s="13" t="inlineStr">
        <is>
          <t>No</t>
        </is>
      </c>
      <c r="M231" s="13" t="n">
        <v>6</v>
      </c>
      <c r="N231" s="13" t="n">
        <v>5.8</v>
      </c>
      <c r="O231" s="13" t="n">
        <v>5.4</v>
      </c>
      <c r="P231" s="13" t="n">
        <v>6</v>
      </c>
      <c r="Q231" s="13">
        <f>IFERROR(ROUND(AVERAGE(M231:P231),1),"")</f>
        <v/>
      </c>
      <c r="R231" s="13" t="n">
        <v>7</v>
      </c>
      <c r="S231" s="13" t="n">
        <v>5.1</v>
      </c>
      <c r="T231" s="13" t="n">
        <v>6.2</v>
      </c>
      <c r="U231" s="13" t="n">
        <v>7.2</v>
      </c>
      <c r="V231" s="13">
        <f>IFERROR(ROUND(AVERAGE(R231:U231),1),"")</f>
        <v/>
      </c>
      <c r="W231" s="13" t="n">
        <v>7</v>
      </c>
      <c r="X231" s="13" t="n">
        <v>6.4</v>
      </c>
      <c r="Y231" s="13" t="n">
        <v>6</v>
      </c>
      <c r="Z231" s="13" t="n">
        <v>8</v>
      </c>
      <c r="AA231" s="13">
        <f>IFERROR(ROUND(AVERAGE(W231:Z231),1),"")</f>
        <v/>
      </c>
      <c r="AB231" s="13" t="n">
        <v>5.8</v>
      </c>
      <c r="AC231" s="13" t="n">
        <v>6</v>
      </c>
      <c r="AD231" s="13" t="n">
        <v>6</v>
      </c>
      <c r="AE231" s="13" t="n">
        <v>5.8</v>
      </c>
      <c r="AF231" s="13">
        <f>IFERROR(ROUND(AVERAGE(AB231:AE231),1),"")</f>
        <v/>
      </c>
      <c r="AG231" s="13" t="n">
        <v>6</v>
      </c>
      <c r="AH231" s="13" t="n">
        <v>5.4</v>
      </c>
      <c r="AI231" s="13" t="n">
        <v>6.6</v>
      </c>
      <c r="AJ231" s="13" t="n">
        <v>6</v>
      </c>
      <c r="AK231" s="13">
        <f>IFERROR(ROUND(AVERAGE(AG231:AJ231),1),"")</f>
        <v/>
      </c>
      <c r="AL231" s="13" t="inlineStr"/>
      <c r="AM231" s="13" t="inlineStr"/>
      <c r="AN231" s="13" t="inlineStr"/>
      <c r="AO231" s="13">
        <f>IFERROR(ROUND(AVERAGE(AL231:AN231),1),"")</f>
        <v/>
      </c>
      <c r="AP231" s="13" t="n">
        <v>9</v>
      </c>
      <c r="AQ231" s="13" t="n">
        <v>9</v>
      </c>
      <c r="AR231" s="13" t="n">
        <v>6</v>
      </c>
      <c r="AS231" s="13" t="n">
        <v>9.5</v>
      </c>
      <c r="AT231" s="13">
        <f>IFERROR(ROUND(AVERAGE(AP231:AS231),1),"")</f>
        <v/>
      </c>
      <c r="AU231" s="13" t="n">
        <v>7</v>
      </c>
      <c r="AV231" s="13" t="n">
        <v>7.2</v>
      </c>
      <c r="AW231" s="13" t="n">
        <v>7.4</v>
      </c>
      <c r="AX231" s="13" t="n">
        <v>7</v>
      </c>
      <c r="AY231" s="13">
        <f>IFERROR(ROUND(AVERAGE(AU231:AX231),1),"")</f>
        <v/>
      </c>
      <c r="AZ231" s="13">
        <f>ROUND(0.19*N(Q231)+0.17*N(V231)+0.17*N(AA231)+0.1*N(AF231)+0.09*N(AK231)+0.12*N(AT231)+0.16*N(AY231),1)</f>
        <v/>
      </c>
      <c r="BA231" s="13" t="inlineStr">
        <is>
          <t>128K</t>
        </is>
      </c>
      <c r="BB231" s="13" t="n"/>
      <c r="BC231" s="13" t="inlineStr"/>
      <c r="BD231" s="13" t="inlineStr"/>
      <c r="BE231" s="13" t="inlineStr">
        <is>
          <t>medium</t>
        </is>
      </c>
      <c r="BF231" s="13" t="n">
        <v>4</v>
      </c>
      <c r="BG231" s="13" t="n">
        <v>3</v>
      </c>
      <c r="BH231" s="13" t="inlineStr">
        <is>
          <t>Copilot/VS Code-native fast coding; cheaper than Haiku 4.5</t>
        </is>
      </c>
      <c r="BI231" s="13" t="inlineStr">
        <is>
          <t>Deep reasoning; long-horizon autonomy</t>
        </is>
      </c>
      <c r="BJ231" s="14" t="inlineStr">
        <is>
          <t>H</t>
        </is>
      </c>
      <c r="BK231" s="13" t="inlineStr">
        <is>
          <t>SWE-bench Pro 51.2% (vs Haiku 35.2%); +28.9 IFBench vs Haiku; 5B; benchmark-anchored (AA Index, SWE-bench, GPQA, ARC-AGI-2, Aider, MMMU 2026-06)</t>
        </is>
      </c>
      <c r="BL231" s="13" t="inlineStr">
        <is>
          <t>2026-06-07</t>
        </is>
      </c>
    </row>
    <row r="232">
      <c r="A232" s="13" t="inlineStr">
        <is>
          <t>minimax-m3</t>
        </is>
      </c>
      <c r="B232" s="13" t="inlineStr">
        <is>
          <t>MiniMax M3</t>
        </is>
      </c>
      <c r="C232" s="13" t="inlineStr">
        <is>
          <t>MiniMax</t>
        </is>
      </c>
      <c r="D232" s="13" t="inlineStr">
        <is>
          <t>MiniMax M3</t>
        </is>
      </c>
      <c r="E232" s="13" t="inlineStr">
        <is>
          <t>3</t>
        </is>
      </c>
      <c r="F232" s="13" t="inlineStr">
        <is>
          <t>Current (new 2026-06)</t>
        </is>
      </c>
      <c r="G232" s="13" t="inlineStr">
        <is>
          <t>Open (agentic/coding)</t>
        </is>
      </c>
      <c r="H232" s="13" t="inlineStr">
        <is>
          <t>Ollama Cloud</t>
        </is>
      </c>
      <c r="I232" s="13" t="inlineStr">
        <is>
          <t>Aggregator</t>
        </is>
      </c>
      <c r="J232" s="13" t="inlineStr">
        <is>
          <t>Keyed + usage-tracked</t>
        </is>
      </c>
      <c r="K232" s="13" t="inlineStr">
        <is>
          <t>metered (tracked)</t>
        </is>
      </c>
      <c r="L232" s="13" t="inlineStr">
        <is>
          <t>No</t>
        </is>
      </c>
      <c r="M232" s="13" t="n">
        <v>8.4</v>
      </c>
      <c r="N232" s="13" t="n">
        <v>8</v>
      </c>
      <c r="O232" s="13" t="n">
        <v>8</v>
      </c>
      <c r="P232" s="13" t="n">
        <v>7.8</v>
      </c>
      <c r="Q232" s="13">
        <f>IFERROR(ROUND(AVERAGE(M232:P232),1),"")</f>
        <v/>
      </c>
      <c r="R232" s="13" t="n">
        <v>8.4</v>
      </c>
      <c r="S232" s="13" t="n">
        <v>8</v>
      </c>
      <c r="T232" s="13" t="n">
        <v>8</v>
      </c>
      <c r="U232" s="13" t="n">
        <v>8.4</v>
      </c>
      <c r="V232" s="13">
        <f>IFERROR(ROUND(AVERAGE(R232:U232),1),"")</f>
        <v/>
      </c>
      <c r="W232" s="13" t="n">
        <v>8.6</v>
      </c>
      <c r="X232" s="13" t="n">
        <v>8.199999999999999</v>
      </c>
      <c r="Y232" s="13" t="n">
        <v>8</v>
      </c>
      <c r="Z232" s="13" t="n">
        <v>8.4</v>
      </c>
      <c r="AA232" s="13">
        <f>IFERROR(ROUND(AVERAGE(W232:Z232),1),"")</f>
        <v/>
      </c>
      <c r="AB232" s="13" t="n">
        <v>8</v>
      </c>
      <c r="AC232" s="13" t="n">
        <v>8</v>
      </c>
      <c r="AD232" s="13" t="n">
        <v>7.8</v>
      </c>
      <c r="AE232" s="13" t="n">
        <v>8</v>
      </c>
      <c r="AF232" s="13">
        <f>IFERROR(ROUND(AVERAGE(AB232:AE232),1),"")</f>
        <v/>
      </c>
      <c r="AG232" s="13" t="n">
        <v>7.8</v>
      </c>
      <c r="AH232" s="13" t="n">
        <v>7</v>
      </c>
      <c r="AI232" s="13" t="n">
        <v>8</v>
      </c>
      <c r="AJ232" s="13" t="n">
        <v>8.199999999999999</v>
      </c>
      <c r="AK232" s="13">
        <f>IFERROR(ROUND(AVERAGE(AG232:AJ232),1),"")</f>
        <v/>
      </c>
      <c r="AL232" s="13" t="inlineStr"/>
      <c r="AM232" s="13" t="inlineStr"/>
      <c r="AN232" s="13" t="inlineStr"/>
      <c r="AO232" s="13">
        <f>IFERROR(ROUND(AVERAGE(AL232:AN232),1),"")</f>
        <v/>
      </c>
      <c r="AP232" s="13" t="n">
        <v>7.6</v>
      </c>
      <c r="AQ232" s="13" t="n">
        <v>7.6</v>
      </c>
      <c r="AR232" s="13" t="n">
        <v>8</v>
      </c>
      <c r="AS232" s="13" t="n">
        <v>8.6</v>
      </c>
      <c r="AT232" s="13">
        <f>IFERROR(ROUND(AVERAGE(AP232:AS232),1),"")</f>
        <v/>
      </c>
      <c r="AU232" s="13" t="n">
        <v>7.6</v>
      </c>
      <c r="AV232" s="13" t="n">
        <v>7.6</v>
      </c>
      <c r="AW232" s="13" t="n">
        <v>7.4</v>
      </c>
      <c r="AX232" s="13" t="n">
        <v>7.6</v>
      </c>
      <c r="AY232" s="13">
        <f>IFERROR(ROUND(AVERAGE(AU232:AX232),1),"")</f>
        <v/>
      </c>
      <c r="AZ232" s="13">
        <f>ROUND(0.19*N(Q232)+0.17*N(V232)+0.17*N(AA232)+0.1*N(AF232)+0.09*N(AK232)+0.12*N(AT232)+0.16*N(AY232),1)</f>
        <v/>
      </c>
      <c r="BA232" s="13" t="inlineStr">
        <is>
          <t>1M</t>
        </is>
      </c>
      <c r="BB232" s="13" t="n"/>
      <c r="BC232" s="13" t="inlineStr"/>
      <c r="BD232" s="13" t="inlineStr"/>
      <c r="BE232" s="13" t="inlineStr">
        <is>
          <t>high</t>
        </is>
      </c>
      <c r="BF232" s="13" t="n">
        <v>4</v>
      </c>
      <c r="BG232" s="13" t="n">
        <v>4</v>
      </c>
      <c r="BH232" s="13" t="inlineStr">
        <is>
          <t>Newest MiniMax MoE; agentic/coding, long context</t>
        </is>
      </c>
      <c r="BI232" s="13" t="inlineStr"/>
      <c r="BJ232" s="15" t="inlineStr">
        <is>
          <t>M</t>
        </is>
      </c>
      <c r="BK232" s="13" t="inlineStr">
        <is>
          <t>Released June 2026; benchmarks still settling; family-inherited estimate (scaled from flagship); verify before HIGH-stakes routing</t>
        </is>
      </c>
      <c r="BL232" s="13" t="inlineStr">
        <is>
          <t>2026-06-07</t>
        </is>
      </c>
    </row>
    <row r="233">
      <c r="A233" s="13" t="inlineStr">
        <is>
          <t>minimax-m3</t>
        </is>
      </c>
      <c r="B233" s="13" t="inlineStr">
        <is>
          <t>MiniMax M3</t>
        </is>
      </c>
      <c r="C233" s="13" t="inlineStr">
        <is>
          <t>MiniMax</t>
        </is>
      </c>
      <c r="D233" s="13" t="inlineStr">
        <is>
          <t>MiniMax M3</t>
        </is>
      </c>
      <c r="E233" s="13" t="inlineStr">
        <is>
          <t>3</t>
        </is>
      </c>
      <c r="F233" s="13" t="inlineStr">
        <is>
          <t>Current (new 2026-06)</t>
        </is>
      </c>
      <c r="G233" s="13" t="inlineStr">
        <is>
          <t>Open (agentic/coding)</t>
        </is>
      </c>
      <c r="H233" s="13" t="inlineStr">
        <is>
          <t>Together AI</t>
        </is>
      </c>
      <c r="I233" s="13" t="inlineStr">
        <is>
          <t>Aggregator</t>
        </is>
      </c>
      <c r="J233" s="13" t="inlineStr">
        <is>
          <t>Not-keyed</t>
        </is>
      </c>
      <c r="K233" s="13" t="inlineStr">
        <is>
          <t>metered (not configured)</t>
        </is>
      </c>
      <c r="L233" s="13" t="inlineStr">
        <is>
          <t>No</t>
        </is>
      </c>
      <c r="M233" s="13" t="n">
        <v>8.4</v>
      </c>
      <c r="N233" s="13" t="n">
        <v>8</v>
      </c>
      <c r="O233" s="13" t="n">
        <v>8</v>
      </c>
      <c r="P233" s="13" t="n">
        <v>7.8</v>
      </c>
      <c r="Q233" s="13">
        <f>IFERROR(ROUND(AVERAGE(M233:P233),1),"")</f>
        <v/>
      </c>
      <c r="R233" s="13" t="n">
        <v>8.4</v>
      </c>
      <c r="S233" s="13" t="n">
        <v>8</v>
      </c>
      <c r="T233" s="13" t="n">
        <v>8</v>
      </c>
      <c r="U233" s="13" t="n">
        <v>8.4</v>
      </c>
      <c r="V233" s="13">
        <f>IFERROR(ROUND(AVERAGE(R233:U233),1),"")</f>
        <v/>
      </c>
      <c r="W233" s="13" t="n">
        <v>8.6</v>
      </c>
      <c r="X233" s="13" t="n">
        <v>8.199999999999999</v>
      </c>
      <c r="Y233" s="13" t="n">
        <v>8</v>
      </c>
      <c r="Z233" s="13" t="n">
        <v>8.4</v>
      </c>
      <c r="AA233" s="13">
        <f>IFERROR(ROUND(AVERAGE(W233:Z233),1),"")</f>
        <v/>
      </c>
      <c r="AB233" s="13" t="n">
        <v>8</v>
      </c>
      <c r="AC233" s="13" t="n">
        <v>8</v>
      </c>
      <c r="AD233" s="13" t="n">
        <v>7.8</v>
      </c>
      <c r="AE233" s="13" t="n">
        <v>8</v>
      </c>
      <c r="AF233" s="13">
        <f>IFERROR(ROUND(AVERAGE(AB233:AE233),1),"")</f>
        <v/>
      </c>
      <c r="AG233" s="13" t="n">
        <v>7.8</v>
      </c>
      <c r="AH233" s="13" t="n">
        <v>7</v>
      </c>
      <c r="AI233" s="13" t="n">
        <v>8</v>
      </c>
      <c r="AJ233" s="13" t="n">
        <v>8.199999999999999</v>
      </c>
      <c r="AK233" s="13">
        <f>IFERROR(ROUND(AVERAGE(AG233:AJ233),1),"")</f>
        <v/>
      </c>
      <c r="AL233" s="13" t="inlineStr"/>
      <c r="AM233" s="13" t="inlineStr"/>
      <c r="AN233" s="13" t="inlineStr"/>
      <c r="AO233" s="13">
        <f>IFERROR(ROUND(AVERAGE(AL233:AN233),1),"")</f>
        <v/>
      </c>
      <c r="AP233" s="13" t="n">
        <v>7.6</v>
      </c>
      <c r="AQ233" s="13" t="n">
        <v>7.6</v>
      </c>
      <c r="AR233" s="13" t="n">
        <v>8</v>
      </c>
      <c r="AS233" s="13" t="n">
        <v>8.6</v>
      </c>
      <c r="AT233" s="13">
        <f>IFERROR(ROUND(AVERAGE(AP233:AS233),1),"")</f>
        <v/>
      </c>
      <c r="AU233" s="13" t="n">
        <v>7.6</v>
      </c>
      <c r="AV233" s="13" t="n">
        <v>7.6</v>
      </c>
      <c r="AW233" s="13" t="n">
        <v>7.4</v>
      </c>
      <c r="AX233" s="13" t="n">
        <v>7.6</v>
      </c>
      <c r="AY233" s="13">
        <f>IFERROR(ROUND(AVERAGE(AU233:AX233),1),"")</f>
        <v/>
      </c>
      <c r="AZ233" s="13">
        <f>ROUND(0.19*N(Q233)+0.17*N(V233)+0.17*N(AA233)+0.1*N(AF233)+0.09*N(AK233)+0.12*N(AT233)+0.16*N(AY233),1)</f>
        <v/>
      </c>
      <c r="BA233" s="13" t="inlineStr">
        <is>
          <t>1M</t>
        </is>
      </c>
      <c r="BB233" s="13" t="n"/>
      <c r="BC233" s="13" t="inlineStr"/>
      <c r="BD233" s="13" t="inlineStr"/>
      <c r="BE233" s="13" t="inlineStr">
        <is>
          <t>high</t>
        </is>
      </c>
      <c r="BF233" s="13" t="n">
        <v>4</v>
      </c>
      <c r="BG233" s="13" t="n">
        <v>4</v>
      </c>
      <c r="BH233" s="13" t="inlineStr">
        <is>
          <t>Newest MiniMax MoE; agentic/coding, long context</t>
        </is>
      </c>
      <c r="BI233" s="13" t="inlineStr"/>
      <c r="BJ233" s="15" t="inlineStr">
        <is>
          <t>M</t>
        </is>
      </c>
      <c r="BK233" s="13" t="inlineStr">
        <is>
          <t>Released June 2026; benchmarks still settling; family-inherited estimate (scaled from flagship); verify before HIGH-stakes routing</t>
        </is>
      </c>
      <c r="BL233" s="13" t="inlineStr">
        <is>
          <t>2026-06-07</t>
        </is>
      </c>
    </row>
    <row r="234">
      <c r="A234" s="13" t="inlineStr">
        <is>
          <t>minimax-m3</t>
        </is>
      </c>
      <c r="B234" s="13" t="inlineStr">
        <is>
          <t>MiniMax M3</t>
        </is>
      </c>
      <c r="C234" s="13" t="inlineStr">
        <is>
          <t>MiniMax</t>
        </is>
      </c>
      <c r="D234" s="13" t="inlineStr">
        <is>
          <t>MiniMax M3</t>
        </is>
      </c>
      <c r="E234" s="13" t="inlineStr">
        <is>
          <t>3</t>
        </is>
      </c>
      <c r="F234" s="13" t="inlineStr">
        <is>
          <t>Current (new 2026-06)</t>
        </is>
      </c>
      <c r="G234" s="13" t="inlineStr">
        <is>
          <t>Open (agentic/coding)</t>
        </is>
      </c>
      <c r="H234" s="13" t="inlineStr">
        <is>
          <t>OpenRouter</t>
        </is>
      </c>
      <c r="I234" s="13" t="inlineStr">
        <is>
          <t>Aggregator</t>
        </is>
      </c>
      <c r="J234" s="13" t="inlineStr">
        <is>
          <t>Not-keyed</t>
        </is>
      </c>
      <c r="K234" s="13" t="inlineStr">
        <is>
          <t>metered (not configured)</t>
        </is>
      </c>
      <c r="L234" s="13" t="inlineStr">
        <is>
          <t>No</t>
        </is>
      </c>
      <c r="M234" s="13" t="n">
        <v>8.4</v>
      </c>
      <c r="N234" s="13" t="n">
        <v>8</v>
      </c>
      <c r="O234" s="13" t="n">
        <v>8</v>
      </c>
      <c r="P234" s="13" t="n">
        <v>7.8</v>
      </c>
      <c r="Q234" s="13">
        <f>IFERROR(ROUND(AVERAGE(M234:P234),1),"")</f>
        <v/>
      </c>
      <c r="R234" s="13" t="n">
        <v>8.4</v>
      </c>
      <c r="S234" s="13" t="n">
        <v>8</v>
      </c>
      <c r="T234" s="13" t="n">
        <v>8</v>
      </c>
      <c r="U234" s="13" t="n">
        <v>8.4</v>
      </c>
      <c r="V234" s="13">
        <f>IFERROR(ROUND(AVERAGE(R234:U234),1),"")</f>
        <v/>
      </c>
      <c r="W234" s="13" t="n">
        <v>8.6</v>
      </c>
      <c r="X234" s="13" t="n">
        <v>8.199999999999999</v>
      </c>
      <c r="Y234" s="13" t="n">
        <v>8</v>
      </c>
      <c r="Z234" s="13" t="n">
        <v>8.4</v>
      </c>
      <c r="AA234" s="13">
        <f>IFERROR(ROUND(AVERAGE(W234:Z234),1),"")</f>
        <v/>
      </c>
      <c r="AB234" s="13" t="n">
        <v>8</v>
      </c>
      <c r="AC234" s="13" t="n">
        <v>8</v>
      </c>
      <c r="AD234" s="13" t="n">
        <v>7.8</v>
      </c>
      <c r="AE234" s="13" t="n">
        <v>8</v>
      </c>
      <c r="AF234" s="13">
        <f>IFERROR(ROUND(AVERAGE(AB234:AE234),1),"")</f>
        <v/>
      </c>
      <c r="AG234" s="13" t="n">
        <v>7.8</v>
      </c>
      <c r="AH234" s="13" t="n">
        <v>7</v>
      </c>
      <c r="AI234" s="13" t="n">
        <v>8</v>
      </c>
      <c r="AJ234" s="13" t="n">
        <v>8.199999999999999</v>
      </c>
      <c r="AK234" s="13">
        <f>IFERROR(ROUND(AVERAGE(AG234:AJ234),1),"")</f>
        <v/>
      </c>
      <c r="AL234" s="13" t="inlineStr"/>
      <c r="AM234" s="13" t="inlineStr"/>
      <c r="AN234" s="13" t="inlineStr"/>
      <c r="AO234" s="13">
        <f>IFERROR(ROUND(AVERAGE(AL234:AN234),1),"")</f>
        <v/>
      </c>
      <c r="AP234" s="13" t="n">
        <v>7.6</v>
      </c>
      <c r="AQ234" s="13" t="n">
        <v>7.6</v>
      </c>
      <c r="AR234" s="13" t="n">
        <v>8</v>
      </c>
      <c r="AS234" s="13" t="n">
        <v>8.6</v>
      </c>
      <c r="AT234" s="13">
        <f>IFERROR(ROUND(AVERAGE(AP234:AS234),1),"")</f>
        <v/>
      </c>
      <c r="AU234" s="13" t="n">
        <v>7.6</v>
      </c>
      <c r="AV234" s="13" t="n">
        <v>7.6</v>
      </c>
      <c r="AW234" s="13" t="n">
        <v>7.4</v>
      </c>
      <c r="AX234" s="13" t="n">
        <v>7.6</v>
      </c>
      <c r="AY234" s="13">
        <f>IFERROR(ROUND(AVERAGE(AU234:AX234),1),"")</f>
        <v/>
      </c>
      <c r="AZ234" s="13">
        <f>ROUND(0.19*N(Q234)+0.17*N(V234)+0.17*N(AA234)+0.1*N(AF234)+0.09*N(AK234)+0.12*N(AT234)+0.16*N(AY234),1)</f>
        <v/>
      </c>
      <c r="BA234" s="13" t="inlineStr">
        <is>
          <t>1M</t>
        </is>
      </c>
      <c r="BB234" s="13" t="n"/>
      <c r="BC234" s="13" t="inlineStr"/>
      <c r="BD234" s="13" t="inlineStr"/>
      <c r="BE234" s="13" t="inlineStr">
        <is>
          <t>high</t>
        </is>
      </c>
      <c r="BF234" s="13" t="n">
        <v>4</v>
      </c>
      <c r="BG234" s="13" t="n">
        <v>4</v>
      </c>
      <c r="BH234" s="13" t="inlineStr">
        <is>
          <t>Newest MiniMax MoE; agentic/coding, long context</t>
        </is>
      </c>
      <c r="BI234" s="13" t="inlineStr"/>
      <c r="BJ234" s="15" t="inlineStr">
        <is>
          <t>M</t>
        </is>
      </c>
      <c r="BK234" s="13" t="inlineStr">
        <is>
          <t>Released June 2026; benchmarks still settling; family-inherited estimate (scaled from flagship); verify before HIGH-stakes routing</t>
        </is>
      </c>
      <c r="BL234" s="13" t="inlineStr">
        <is>
          <t>2026-06-07</t>
        </is>
      </c>
    </row>
    <row r="235">
      <c r="A235" s="13" t="inlineStr">
        <is>
          <t>gpt-5.4-pro</t>
        </is>
      </c>
      <c r="B235" s="13" t="inlineStr">
        <is>
          <t>GPT-5.4 Pro</t>
        </is>
      </c>
      <c r="C235" s="13" t="inlineStr">
        <is>
          <t>OpenAI</t>
        </is>
      </c>
      <c r="D235" s="13" t="inlineStr">
        <is>
          <t>GPT-5.x</t>
        </is>
      </c>
      <c r="E235" s="13" t="inlineStr">
        <is>
          <t>5.4-pro</t>
        </is>
      </c>
      <c r="F235" s="13" t="inlineStr">
        <is>
          <t>Current</t>
        </is>
      </c>
      <c r="G235" s="13" t="inlineStr">
        <is>
          <t>Flagship (max compute)</t>
        </is>
      </c>
      <c r="H235" s="13" t="inlineStr">
        <is>
          <t>OpenAI API</t>
        </is>
      </c>
      <c r="I235" s="13" t="inlineStr">
        <is>
          <t>HTTP API</t>
        </is>
      </c>
      <c r="J235" s="13" t="inlineStr">
        <is>
          <t>No standalone key</t>
        </is>
      </c>
      <c r="K235" s="13" t="inlineStr">
        <is>
          <t>metered (not configured)</t>
        </is>
      </c>
      <c r="L235" s="13" t="inlineStr">
        <is>
          <t>No</t>
        </is>
      </c>
      <c r="M235" s="13" t="n">
        <v>9.300000000000001</v>
      </c>
      <c r="N235" s="13" t="n">
        <v>9.1</v>
      </c>
      <c r="O235" s="13" t="n">
        <v>9.1</v>
      </c>
      <c r="P235" s="13" t="n">
        <v>8.9</v>
      </c>
      <c r="Q235" s="13">
        <f>IFERROR(ROUND(AVERAGE(M235:P235),1),"")</f>
        <v/>
      </c>
      <c r="R235" s="13" t="n">
        <v>9</v>
      </c>
      <c r="S235" s="13" t="n">
        <v>8.699999999999999</v>
      </c>
      <c r="T235" s="13" t="n">
        <v>8.6</v>
      </c>
      <c r="U235" s="13" t="n">
        <v>8.9</v>
      </c>
      <c r="V235" s="13">
        <f>IFERROR(ROUND(AVERAGE(R235:U235),1),"")</f>
        <v/>
      </c>
      <c r="W235" s="13" t="n">
        <v>9.1</v>
      </c>
      <c r="X235" s="13" t="n">
        <v>9.1</v>
      </c>
      <c r="Y235" s="13" t="n">
        <v>8.699999999999999</v>
      </c>
      <c r="Z235" s="13" t="n">
        <v>9.1</v>
      </c>
      <c r="AA235" s="13">
        <f>IFERROR(ROUND(AVERAGE(W235:Z235),1),"")</f>
        <v/>
      </c>
      <c r="AB235" s="13" t="n">
        <v>8.699999999999999</v>
      </c>
      <c r="AC235" s="13" t="n">
        <v>8.699999999999999</v>
      </c>
      <c r="AD235" s="13" t="n">
        <v>8.6</v>
      </c>
      <c r="AE235" s="13" t="n">
        <v>8.5</v>
      </c>
      <c r="AF235" s="13">
        <f>IFERROR(ROUND(AVERAGE(AB235:AE235),1),"")</f>
        <v/>
      </c>
      <c r="AG235" s="13" t="n">
        <v>8.6</v>
      </c>
      <c r="AH235" s="13" t="n">
        <v>7.8</v>
      </c>
      <c r="AI235" s="13" t="n">
        <v>8.699999999999999</v>
      </c>
      <c r="AJ235" s="13" t="n">
        <v>9</v>
      </c>
      <c r="AK235" s="13">
        <f>IFERROR(ROUND(AVERAGE(AG235:AJ235),1),"")</f>
        <v/>
      </c>
      <c r="AL235" s="13" t="n">
        <v>9.199999999999999</v>
      </c>
      <c r="AM235" s="13" t="n">
        <v>9</v>
      </c>
      <c r="AN235" s="13" t="inlineStr"/>
      <c r="AO235" s="13">
        <f>IFERROR(ROUND(AVERAGE(AL235:AN235),1),"")</f>
        <v/>
      </c>
      <c r="AP235" s="13" t="n">
        <v>4.5</v>
      </c>
      <c r="AQ235" s="13" t="n">
        <v>4</v>
      </c>
      <c r="AR235" s="13" t="n">
        <v>10</v>
      </c>
      <c r="AS235" s="13" t="n">
        <v>3.5</v>
      </c>
      <c r="AT235" s="13">
        <f>IFERROR(ROUND(AVERAGE(AP235:AS235),1),"")</f>
        <v/>
      </c>
      <c r="AU235" s="13" t="n">
        <v>8.6</v>
      </c>
      <c r="AV235" s="13" t="n">
        <v>8.6</v>
      </c>
      <c r="AW235" s="13" t="n">
        <v>8.699999999999999</v>
      </c>
      <c r="AX235" s="13" t="n">
        <v>8.5</v>
      </c>
      <c r="AY235" s="13">
        <f>IFERROR(ROUND(AVERAGE(AU235:AX235),1),"")</f>
        <v/>
      </c>
      <c r="AZ235" s="13">
        <f>ROUND(0.19*N(Q235)+0.17*N(V235)+0.17*N(AA235)+0.1*N(AF235)+0.09*N(AK235)+0.12*N(AT235)+0.16*N(AY235),1)</f>
        <v/>
      </c>
      <c r="BA235" s="13" t="inlineStr">
        <is>
          <t>1M</t>
        </is>
      </c>
      <c r="BB235" s="13" t="n">
        <v>128000</v>
      </c>
      <c r="BC235" s="13" t="inlineStr"/>
      <c r="BD235" s="13" t="inlineStr"/>
      <c r="BE235" s="13" t="inlineStr">
        <is>
          <t>critical</t>
        </is>
      </c>
      <c r="BF235" s="13" t="n">
        <v>5</v>
      </c>
      <c r="BG235" s="13" t="n">
        <v>5</v>
      </c>
      <c r="BH235" s="13" t="inlineStr">
        <is>
          <t>Extended-compute GPT-5.4 for hardest tasks</t>
        </is>
      </c>
      <c r="BI235" s="13" t="inlineStr">
        <is>
          <t>Latency/cost-sensitive</t>
        </is>
      </c>
      <c r="BJ235" s="15" t="inlineStr">
        <is>
          <t>M</t>
        </is>
      </c>
      <c r="BK235" s="13" t="inlineStr">
        <is>
          <t>Pro variant of GPT-5.4 (provider-doc); family-inherited estimate (scaled from flagship); verify before HIGH-stakes routing</t>
        </is>
      </c>
      <c r="BL235" s="13" t="inlineStr">
        <is>
          <t>2026-06-07</t>
        </is>
      </c>
    </row>
    <row r="236">
      <c r="A236" s="13" t="inlineStr">
        <is>
          <t>gpt-5.4-pro</t>
        </is>
      </c>
      <c r="B236" s="13" t="inlineStr">
        <is>
          <t>GPT-5.4 Pro</t>
        </is>
      </c>
      <c r="C236" s="13" t="inlineStr">
        <is>
          <t>OpenAI</t>
        </is>
      </c>
      <c r="D236" s="13" t="inlineStr">
        <is>
          <t>GPT-5.x</t>
        </is>
      </c>
      <c r="E236" s="13" t="inlineStr">
        <is>
          <t>5.4-pro</t>
        </is>
      </c>
      <c r="F236" s="13" t="inlineStr">
        <is>
          <t>Current</t>
        </is>
      </c>
      <c r="G236" s="13" t="inlineStr">
        <is>
          <t>Flagship (max compute)</t>
        </is>
      </c>
      <c r="H236" s="13" t="inlineStr">
        <is>
          <t>Codex CLI</t>
        </is>
      </c>
      <c r="I236" s="13" t="inlineStr">
        <is>
          <t>CLI</t>
        </is>
      </c>
      <c r="J236" s="13" t="inlineStr">
        <is>
          <t>Working (ChatGPT plan)</t>
        </is>
      </c>
      <c r="K236" s="13" t="inlineStr">
        <is>
          <t>subscription_included</t>
        </is>
      </c>
      <c r="L236" s="13" t="inlineStr">
        <is>
          <t>No</t>
        </is>
      </c>
      <c r="M236" s="13" t="n">
        <v>9.300000000000001</v>
      </c>
      <c r="N236" s="13" t="n">
        <v>9.1</v>
      </c>
      <c r="O236" s="13" t="n">
        <v>9.1</v>
      </c>
      <c r="P236" s="13" t="n">
        <v>8.9</v>
      </c>
      <c r="Q236" s="13">
        <f>IFERROR(ROUND(AVERAGE(M236:P236),1),"")</f>
        <v/>
      </c>
      <c r="R236" s="13" t="n">
        <v>9</v>
      </c>
      <c r="S236" s="13" t="n">
        <v>8.699999999999999</v>
      </c>
      <c r="T236" s="13" t="n">
        <v>8.6</v>
      </c>
      <c r="U236" s="13" t="n">
        <v>8.9</v>
      </c>
      <c r="V236" s="13">
        <f>IFERROR(ROUND(AVERAGE(R236:U236),1),"")</f>
        <v/>
      </c>
      <c r="W236" s="13" t="n">
        <v>9.1</v>
      </c>
      <c r="X236" s="13" t="n">
        <v>9.1</v>
      </c>
      <c r="Y236" s="13" t="n">
        <v>8.699999999999999</v>
      </c>
      <c r="Z236" s="13" t="n">
        <v>9.1</v>
      </c>
      <c r="AA236" s="13">
        <f>IFERROR(ROUND(AVERAGE(W236:Z236),1),"")</f>
        <v/>
      </c>
      <c r="AB236" s="13" t="n">
        <v>8.699999999999999</v>
      </c>
      <c r="AC236" s="13" t="n">
        <v>8.699999999999999</v>
      </c>
      <c r="AD236" s="13" t="n">
        <v>8.6</v>
      </c>
      <c r="AE236" s="13" t="n">
        <v>8.5</v>
      </c>
      <c r="AF236" s="13">
        <f>IFERROR(ROUND(AVERAGE(AB236:AE236),1),"")</f>
        <v/>
      </c>
      <c r="AG236" s="13" t="n">
        <v>8.6</v>
      </c>
      <c r="AH236" s="13" t="n">
        <v>7.8</v>
      </c>
      <c r="AI236" s="13" t="n">
        <v>8.699999999999999</v>
      </c>
      <c r="AJ236" s="13" t="n">
        <v>9</v>
      </c>
      <c r="AK236" s="13">
        <f>IFERROR(ROUND(AVERAGE(AG236:AJ236),1),"")</f>
        <v/>
      </c>
      <c r="AL236" s="13" t="n">
        <v>9.199999999999999</v>
      </c>
      <c r="AM236" s="13" t="n">
        <v>9</v>
      </c>
      <c r="AN236" s="13" t="inlineStr"/>
      <c r="AO236" s="13">
        <f>IFERROR(ROUND(AVERAGE(AL236:AN236),1),"")</f>
        <v/>
      </c>
      <c r="AP236" s="13" t="n">
        <v>4.5</v>
      </c>
      <c r="AQ236" s="13" t="n">
        <v>4</v>
      </c>
      <c r="AR236" s="13" t="n">
        <v>10</v>
      </c>
      <c r="AS236" s="13" t="n">
        <v>3.5</v>
      </c>
      <c r="AT236" s="13">
        <f>IFERROR(ROUND(AVERAGE(AP236:AS236),1),"")</f>
        <v/>
      </c>
      <c r="AU236" s="13" t="n">
        <v>8.6</v>
      </c>
      <c r="AV236" s="13" t="n">
        <v>8.6</v>
      </c>
      <c r="AW236" s="13" t="n">
        <v>8.699999999999999</v>
      </c>
      <c r="AX236" s="13" t="n">
        <v>8.5</v>
      </c>
      <c r="AY236" s="13">
        <f>IFERROR(ROUND(AVERAGE(AU236:AX236),1),"")</f>
        <v/>
      </c>
      <c r="AZ236" s="13">
        <f>ROUND(0.19*N(Q236)+0.17*N(V236)+0.17*N(AA236)+0.1*N(AF236)+0.09*N(AK236)+0.12*N(AT236)+0.16*N(AY236),1)</f>
        <v/>
      </c>
      <c r="BA236" s="13" t="inlineStr">
        <is>
          <t>1M</t>
        </is>
      </c>
      <c r="BB236" s="13" t="n">
        <v>128000</v>
      </c>
      <c r="BC236" s="13" t="inlineStr"/>
      <c r="BD236" s="13" t="inlineStr"/>
      <c r="BE236" s="13" t="inlineStr">
        <is>
          <t>critical</t>
        </is>
      </c>
      <c r="BF236" s="13" t="n">
        <v>5</v>
      </c>
      <c r="BG236" s="13" t="n">
        <v>5</v>
      </c>
      <c r="BH236" s="13" t="inlineStr">
        <is>
          <t>Extended-compute GPT-5.4 for hardest tasks</t>
        </is>
      </c>
      <c r="BI236" s="13" t="inlineStr">
        <is>
          <t>Latency/cost-sensitive</t>
        </is>
      </c>
      <c r="BJ236" s="15" t="inlineStr">
        <is>
          <t>M</t>
        </is>
      </c>
      <c r="BK236" s="13" t="inlineStr">
        <is>
          <t>Pro variant of GPT-5.4 (provider-doc); family-inherited estimate (scaled from flagship); verify before HIGH-stakes routing</t>
        </is>
      </c>
      <c r="BL236" s="13" t="inlineStr">
        <is>
          <t>2026-06-07</t>
        </is>
      </c>
    </row>
    <row r="237">
      <c r="A237" s="13" t="inlineStr">
        <is>
          <t>gpt-5.4-mini</t>
        </is>
      </c>
      <c r="B237" s="13" t="inlineStr">
        <is>
          <t>GPT-5.4 Mini</t>
        </is>
      </c>
      <c r="C237" s="13" t="inlineStr">
        <is>
          <t>OpenAI</t>
        </is>
      </c>
      <c r="D237" s="13" t="inlineStr">
        <is>
          <t>GPT-5.x</t>
        </is>
      </c>
      <c r="E237" s="13" t="inlineStr">
        <is>
          <t>5.4-mini</t>
        </is>
      </c>
      <c r="F237" s="13" t="inlineStr">
        <is>
          <t>Current</t>
        </is>
      </c>
      <c r="G237" s="13" t="inlineStr">
        <is>
          <t>Fast-Cheap</t>
        </is>
      </c>
      <c r="H237" s="13" t="inlineStr">
        <is>
          <t>OpenAI API</t>
        </is>
      </c>
      <c r="I237" s="13" t="inlineStr">
        <is>
          <t>HTTP API</t>
        </is>
      </c>
      <c r="J237" s="13" t="inlineStr">
        <is>
          <t>No standalone key</t>
        </is>
      </c>
      <c r="K237" s="13" t="inlineStr">
        <is>
          <t>metered (not configured)</t>
        </is>
      </c>
      <c r="L237" s="13" t="inlineStr">
        <is>
          <t>No</t>
        </is>
      </c>
      <c r="M237" s="13" t="n">
        <v>8</v>
      </c>
      <c r="N237" s="13" t="n">
        <v>7.6</v>
      </c>
      <c r="O237" s="13" t="n">
        <v>7.4</v>
      </c>
      <c r="P237" s="13" t="n">
        <v>7.8</v>
      </c>
      <c r="Q237" s="13">
        <f>IFERROR(ROUND(AVERAGE(M237:P237),1),"")</f>
        <v/>
      </c>
      <c r="R237" s="13" t="n">
        <v>8</v>
      </c>
      <c r="S237" s="13" t="n">
        <v>7.4</v>
      </c>
      <c r="T237" s="13" t="n">
        <v>7.4</v>
      </c>
      <c r="U237" s="13" t="n">
        <v>7.8</v>
      </c>
      <c r="V237" s="13">
        <f>IFERROR(ROUND(AVERAGE(R237:U237),1),"")</f>
        <v/>
      </c>
      <c r="W237" s="13" t="n">
        <v>8</v>
      </c>
      <c r="X237" s="13" t="n">
        <v>7.6</v>
      </c>
      <c r="Y237" s="13" t="n">
        <v>7.2</v>
      </c>
      <c r="Z237" s="13" t="n">
        <v>8</v>
      </c>
      <c r="AA237" s="13">
        <f>IFERROR(ROUND(AVERAGE(W237:Z237),1),"")</f>
        <v/>
      </c>
      <c r="AB237" s="13" t="n">
        <v>7.8</v>
      </c>
      <c r="AC237" s="13" t="n">
        <v>7.8</v>
      </c>
      <c r="AD237" s="13" t="n">
        <v>7.8</v>
      </c>
      <c r="AE237" s="13" t="n">
        <v>7.6</v>
      </c>
      <c r="AF237" s="13">
        <f>IFERROR(ROUND(AVERAGE(AB237:AE237),1),"")</f>
        <v/>
      </c>
      <c r="AG237" s="13" t="n">
        <v>7.4</v>
      </c>
      <c r="AH237" s="13" t="n">
        <v>6.6</v>
      </c>
      <c r="AI237" s="13" t="n">
        <v>7.8</v>
      </c>
      <c r="AJ237" s="13" t="n">
        <v>7.4</v>
      </c>
      <c r="AK237" s="13">
        <f>IFERROR(ROUND(AVERAGE(AG237:AJ237),1),"")</f>
        <v/>
      </c>
      <c r="AL237" s="13" t="n">
        <v>7.8</v>
      </c>
      <c r="AM237" s="13" t="n">
        <v>7.8</v>
      </c>
      <c r="AN237" s="13" t="inlineStr"/>
      <c r="AO237" s="13">
        <f>IFERROR(ROUND(AVERAGE(AL237:AN237),1),"")</f>
        <v/>
      </c>
      <c r="AP237" s="13" t="n">
        <v>8.800000000000001</v>
      </c>
      <c r="AQ237" s="13" t="n">
        <v>8.800000000000001</v>
      </c>
      <c r="AR237" s="13" t="n">
        <v>9</v>
      </c>
      <c r="AS237" s="13" t="n">
        <v>8.199999999999999</v>
      </c>
      <c r="AT237" s="13">
        <f>IFERROR(ROUND(AVERAGE(AP237:AS237),1),"")</f>
        <v/>
      </c>
      <c r="AU237" s="13" t="n">
        <v>8</v>
      </c>
      <c r="AV237" s="13" t="n">
        <v>8</v>
      </c>
      <c r="AW237" s="13" t="n">
        <v>8.199999999999999</v>
      </c>
      <c r="AX237" s="13" t="n">
        <v>7.8</v>
      </c>
      <c r="AY237" s="13">
        <f>IFERROR(ROUND(AVERAGE(AU237:AX237),1),"")</f>
        <v/>
      </c>
      <c r="AZ237" s="13">
        <f>ROUND(0.19*N(Q237)+0.17*N(V237)+0.17*N(AA237)+0.1*N(AF237)+0.09*N(AK237)+0.12*N(AT237)+0.16*N(AY237),1)</f>
        <v/>
      </c>
      <c r="BA237" s="13" t="inlineStr">
        <is>
          <t>400K</t>
        </is>
      </c>
      <c r="BB237" s="13" t="n">
        <v>64000</v>
      </c>
      <c r="BC237" s="13" t="inlineStr"/>
      <c r="BD237" s="13" t="inlineStr"/>
      <c r="BE237" s="13" t="inlineStr">
        <is>
          <t>high</t>
        </is>
      </c>
      <c r="BF237" s="13" t="n">
        <v>4</v>
      </c>
      <c r="BG237" s="13" t="n">
        <v>4</v>
      </c>
      <c r="BH237" s="13" t="inlineStr">
        <is>
          <t>Near-frontier at low latency/cost; ChatGPT Thinking fallback</t>
        </is>
      </c>
      <c r="BI237" s="13" t="inlineStr">
        <is>
          <t>Hardest reasoning</t>
        </is>
      </c>
      <c r="BJ237" s="15" t="inlineStr">
        <is>
          <t>M</t>
        </is>
      </c>
      <c r="BK237" s="13" t="inlineStr">
        <is>
          <t>GPT-5.4 mini (provider-doc); family-inherited estimate (scaled from flagship); verify before HIGH-stakes routing</t>
        </is>
      </c>
      <c r="BL237" s="13" t="inlineStr">
        <is>
          <t>2026-06-07</t>
        </is>
      </c>
    </row>
    <row r="238">
      <c r="A238" s="13" t="inlineStr">
        <is>
          <t>gpt-5.4-mini</t>
        </is>
      </c>
      <c r="B238" s="13" t="inlineStr">
        <is>
          <t>GPT-5.4 Mini</t>
        </is>
      </c>
      <c r="C238" s="13" t="inlineStr">
        <is>
          <t>OpenAI</t>
        </is>
      </c>
      <c r="D238" s="13" t="inlineStr">
        <is>
          <t>GPT-5.x</t>
        </is>
      </c>
      <c r="E238" s="13" t="inlineStr">
        <is>
          <t>5.4-mini</t>
        </is>
      </c>
      <c r="F238" s="13" t="inlineStr">
        <is>
          <t>Current</t>
        </is>
      </c>
      <c r="G238" s="13" t="inlineStr">
        <is>
          <t>Fast-Cheap</t>
        </is>
      </c>
      <c r="H238" s="13" t="inlineStr">
        <is>
          <t>Codex CLI</t>
        </is>
      </c>
      <c r="I238" s="13" t="inlineStr">
        <is>
          <t>CLI</t>
        </is>
      </c>
      <c r="J238" s="13" t="inlineStr">
        <is>
          <t>Working (ChatGPT plan)</t>
        </is>
      </c>
      <c r="K238" s="13" t="inlineStr">
        <is>
          <t>subscription_included</t>
        </is>
      </c>
      <c r="L238" s="13" t="inlineStr">
        <is>
          <t>No</t>
        </is>
      </c>
      <c r="M238" s="13" t="n">
        <v>8</v>
      </c>
      <c r="N238" s="13" t="n">
        <v>7.6</v>
      </c>
      <c r="O238" s="13" t="n">
        <v>7.4</v>
      </c>
      <c r="P238" s="13" t="n">
        <v>7.8</v>
      </c>
      <c r="Q238" s="13">
        <f>IFERROR(ROUND(AVERAGE(M238:P238),1),"")</f>
        <v/>
      </c>
      <c r="R238" s="13" t="n">
        <v>8</v>
      </c>
      <c r="S238" s="13" t="n">
        <v>7.4</v>
      </c>
      <c r="T238" s="13" t="n">
        <v>7.4</v>
      </c>
      <c r="U238" s="13" t="n">
        <v>7.8</v>
      </c>
      <c r="V238" s="13">
        <f>IFERROR(ROUND(AVERAGE(R238:U238),1),"")</f>
        <v/>
      </c>
      <c r="W238" s="13" t="n">
        <v>8</v>
      </c>
      <c r="X238" s="13" t="n">
        <v>7.6</v>
      </c>
      <c r="Y238" s="13" t="n">
        <v>7.2</v>
      </c>
      <c r="Z238" s="13" t="n">
        <v>8</v>
      </c>
      <c r="AA238" s="13">
        <f>IFERROR(ROUND(AVERAGE(W238:Z238),1),"")</f>
        <v/>
      </c>
      <c r="AB238" s="13" t="n">
        <v>7.8</v>
      </c>
      <c r="AC238" s="13" t="n">
        <v>7.8</v>
      </c>
      <c r="AD238" s="13" t="n">
        <v>7.8</v>
      </c>
      <c r="AE238" s="13" t="n">
        <v>7.6</v>
      </c>
      <c r="AF238" s="13">
        <f>IFERROR(ROUND(AVERAGE(AB238:AE238),1),"")</f>
        <v/>
      </c>
      <c r="AG238" s="13" t="n">
        <v>7.4</v>
      </c>
      <c r="AH238" s="13" t="n">
        <v>6.6</v>
      </c>
      <c r="AI238" s="13" t="n">
        <v>7.8</v>
      </c>
      <c r="AJ238" s="13" t="n">
        <v>7.4</v>
      </c>
      <c r="AK238" s="13">
        <f>IFERROR(ROUND(AVERAGE(AG238:AJ238),1),"")</f>
        <v/>
      </c>
      <c r="AL238" s="13" t="n">
        <v>7.8</v>
      </c>
      <c r="AM238" s="13" t="n">
        <v>7.8</v>
      </c>
      <c r="AN238" s="13" t="inlineStr"/>
      <c r="AO238" s="13">
        <f>IFERROR(ROUND(AVERAGE(AL238:AN238),1),"")</f>
        <v/>
      </c>
      <c r="AP238" s="13" t="n">
        <v>8.800000000000001</v>
      </c>
      <c r="AQ238" s="13" t="n">
        <v>8.800000000000001</v>
      </c>
      <c r="AR238" s="13" t="n">
        <v>9</v>
      </c>
      <c r="AS238" s="13" t="n">
        <v>8.199999999999999</v>
      </c>
      <c r="AT238" s="13">
        <f>IFERROR(ROUND(AVERAGE(AP238:AS238),1),"")</f>
        <v/>
      </c>
      <c r="AU238" s="13" t="n">
        <v>8</v>
      </c>
      <c r="AV238" s="13" t="n">
        <v>8</v>
      </c>
      <c r="AW238" s="13" t="n">
        <v>8.199999999999999</v>
      </c>
      <c r="AX238" s="13" t="n">
        <v>7.8</v>
      </c>
      <c r="AY238" s="13">
        <f>IFERROR(ROUND(AVERAGE(AU238:AX238),1),"")</f>
        <v/>
      </c>
      <c r="AZ238" s="13">
        <f>ROUND(0.19*N(Q238)+0.17*N(V238)+0.17*N(AA238)+0.1*N(AF238)+0.09*N(AK238)+0.12*N(AT238)+0.16*N(AY238),1)</f>
        <v/>
      </c>
      <c r="BA238" s="13" t="inlineStr">
        <is>
          <t>400K</t>
        </is>
      </c>
      <c r="BB238" s="13" t="n">
        <v>64000</v>
      </c>
      <c r="BC238" s="13" t="inlineStr"/>
      <c r="BD238" s="13" t="inlineStr"/>
      <c r="BE238" s="13" t="inlineStr">
        <is>
          <t>high</t>
        </is>
      </c>
      <c r="BF238" s="13" t="n">
        <v>4</v>
      </c>
      <c r="BG238" s="13" t="n">
        <v>4</v>
      </c>
      <c r="BH238" s="13" t="inlineStr">
        <is>
          <t>Near-frontier at low latency/cost; ChatGPT Thinking fallback</t>
        </is>
      </c>
      <c r="BI238" s="13" t="inlineStr">
        <is>
          <t>Hardest reasoning</t>
        </is>
      </c>
      <c r="BJ238" s="15" t="inlineStr">
        <is>
          <t>M</t>
        </is>
      </c>
      <c r="BK238" s="13" t="inlineStr">
        <is>
          <t>GPT-5.4 mini (provider-doc); family-inherited estimate (scaled from flagship); verify before HIGH-stakes routing</t>
        </is>
      </c>
      <c r="BL238" s="13" t="inlineStr">
        <is>
          <t>2026-06-07</t>
        </is>
      </c>
    </row>
    <row r="239">
      <c r="A239" s="13" t="inlineStr">
        <is>
          <t>gpt-5.4-mini</t>
        </is>
      </c>
      <c r="B239" s="13" t="inlineStr">
        <is>
          <t>GPT-5.4 Mini</t>
        </is>
      </c>
      <c r="C239" s="13" t="inlineStr">
        <is>
          <t>OpenAI</t>
        </is>
      </c>
      <c r="D239" s="13" t="inlineStr">
        <is>
          <t>GPT-5.x</t>
        </is>
      </c>
      <c r="E239" s="13" t="inlineStr">
        <is>
          <t>5.4-mini</t>
        </is>
      </c>
      <c r="F239" s="13" t="inlineStr">
        <is>
          <t>Current</t>
        </is>
      </c>
      <c r="G239" s="13" t="inlineStr">
        <is>
          <t>Fast-Cheap</t>
        </is>
      </c>
      <c r="H239" s="13" t="inlineStr">
        <is>
          <t>GitHub Models (AI Toolkit)</t>
        </is>
      </c>
      <c r="I239" s="13" t="inlineStr">
        <is>
          <t>Aggregator</t>
        </is>
      </c>
      <c r="J239" s="13" t="inlineStr">
        <is>
          <t>Configured</t>
        </is>
      </c>
      <c r="K239" s="13" t="inlineStr">
        <is>
          <t>subscription_included</t>
        </is>
      </c>
      <c r="L239" s="13" t="inlineStr">
        <is>
          <t>No</t>
        </is>
      </c>
      <c r="M239" s="13" t="n">
        <v>8</v>
      </c>
      <c r="N239" s="13" t="n">
        <v>7.6</v>
      </c>
      <c r="O239" s="13" t="n">
        <v>7.4</v>
      </c>
      <c r="P239" s="13" t="n">
        <v>7.8</v>
      </c>
      <c r="Q239" s="13">
        <f>IFERROR(ROUND(AVERAGE(M239:P239),1),"")</f>
        <v/>
      </c>
      <c r="R239" s="13" t="n">
        <v>8</v>
      </c>
      <c r="S239" s="13" t="n">
        <v>7.4</v>
      </c>
      <c r="T239" s="13" t="n">
        <v>7.4</v>
      </c>
      <c r="U239" s="13" t="n">
        <v>7.8</v>
      </c>
      <c r="V239" s="13">
        <f>IFERROR(ROUND(AVERAGE(R239:U239),1),"")</f>
        <v/>
      </c>
      <c r="W239" s="13" t="n">
        <v>8</v>
      </c>
      <c r="X239" s="13" t="n">
        <v>7.6</v>
      </c>
      <c r="Y239" s="13" t="n">
        <v>7.2</v>
      </c>
      <c r="Z239" s="13" t="n">
        <v>8</v>
      </c>
      <c r="AA239" s="13">
        <f>IFERROR(ROUND(AVERAGE(W239:Z239),1),"")</f>
        <v/>
      </c>
      <c r="AB239" s="13" t="n">
        <v>7.8</v>
      </c>
      <c r="AC239" s="13" t="n">
        <v>7.8</v>
      </c>
      <c r="AD239" s="13" t="n">
        <v>7.8</v>
      </c>
      <c r="AE239" s="13" t="n">
        <v>7.6</v>
      </c>
      <c r="AF239" s="13">
        <f>IFERROR(ROUND(AVERAGE(AB239:AE239),1),"")</f>
        <v/>
      </c>
      <c r="AG239" s="13" t="n">
        <v>7.4</v>
      </c>
      <c r="AH239" s="13" t="n">
        <v>6.6</v>
      </c>
      <c r="AI239" s="13" t="n">
        <v>7.8</v>
      </c>
      <c r="AJ239" s="13" t="n">
        <v>7.4</v>
      </c>
      <c r="AK239" s="13">
        <f>IFERROR(ROUND(AVERAGE(AG239:AJ239),1),"")</f>
        <v/>
      </c>
      <c r="AL239" s="13" t="n">
        <v>7.8</v>
      </c>
      <c r="AM239" s="13" t="n">
        <v>7.8</v>
      </c>
      <c r="AN239" s="13" t="inlineStr"/>
      <c r="AO239" s="13">
        <f>IFERROR(ROUND(AVERAGE(AL239:AN239),1),"")</f>
        <v/>
      </c>
      <c r="AP239" s="13" t="n">
        <v>8.800000000000001</v>
      </c>
      <c r="AQ239" s="13" t="n">
        <v>8.800000000000001</v>
      </c>
      <c r="AR239" s="13" t="n">
        <v>9</v>
      </c>
      <c r="AS239" s="13" t="n">
        <v>8.199999999999999</v>
      </c>
      <c r="AT239" s="13">
        <f>IFERROR(ROUND(AVERAGE(AP239:AS239),1),"")</f>
        <v/>
      </c>
      <c r="AU239" s="13" t="n">
        <v>8</v>
      </c>
      <c r="AV239" s="13" t="n">
        <v>8</v>
      </c>
      <c r="AW239" s="13" t="n">
        <v>8.199999999999999</v>
      </c>
      <c r="AX239" s="13" t="n">
        <v>7.8</v>
      </c>
      <c r="AY239" s="13">
        <f>IFERROR(ROUND(AVERAGE(AU239:AX239),1),"")</f>
        <v/>
      </c>
      <c r="AZ239" s="13">
        <f>ROUND(0.19*N(Q239)+0.17*N(V239)+0.17*N(AA239)+0.1*N(AF239)+0.09*N(AK239)+0.12*N(AT239)+0.16*N(AY239),1)</f>
        <v/>
      </c>
      <c r="BA239" s="13" t="inlineStr">
        <is>
          <t>400K</t>
        </is>
      </c>
      <c r="BB239" s="13" t="n">
        <v>64000</v>
      </c>
      <c r="BC239" s="13" t="inlineStr"/>
      <c r="BD239" s="13" t="inlineStr"/>
      <c r="BE239" s="13" t="inlineStr">
        <is>
          <t>high</t>
        </is>
      </c>
      <c r="BF239" s="13" t="n">
        <v>4</v>
      </c>
      <c r="BG239" s="13" t="n">
        <v>4</v>
      </c>
      <c r="BH239" s="13" t="inlineStr">
        <is>
          <t>Near-frontier at low latency/cost; ChatGPT Thinking fallback</t>
        </is>
      </c>
      <c r="BI239" s="13" t="inlineStr">
        <is>
          <t>Hardest reasoning</t>
        </is>
      </c>
      <c r="BJ239" s="15" t="inlineStr">
        <is>
          <t>M</t>
        </is>
      </c>
      <c r="BK239" s="13" t="inlineStr">
        <is>
          <t>GPT-5.4 mini (provider-doc); family-inherited estimate (scaled from flagship); verify before HIGH-stakes routing</t>
        </is>
      </c>
      <c r="BL239" s="13" t="inlineStr">
        <is>
          <t>2026-06-07</t>
        </is>
      </c>
    </row>
    <row r="240">
      <c r="A240" s="13" t="inlineStr">
        <is>
          <t>gpt-5.4-nano</t>
        </is>
      </c>
      <c r="B240" s="13" t="inlineStr">
        <is>
          <t>GPT-5.4 Nano</t>
        </is>
      </c>
      <c r="C240" s="13" t="inlineStr">
        <is>
          <t>OpenAI</t>
        </is>
      </c>
      <c r="D240" s="13" t="inlineStr">
        <is>
          <t>GPT-5.x</t>
        </is>
      </c>
      <c r="E240" s="13" t="inlineStr">
        <is>
          <t>5.4-nano</t>
        </is>
      </c>
      <c r="F240" s="13" t="inlineStr">
        <is>
          <t>Current</t>
        </is>
      </c>
      <c r="G240" s="13" t="inlineStr">
        <is>
          <t>Fast-Cheap</t>
        </is>
      </c>
      <c r="H240" s="13" t="inlineStr">
        <is>
          <t>OpenAI API</t>
        </is>
      </c>
      <c r="I240" s="13" t="inlineStr">
        <is>
          <t>HTTP API</t>
        </is>
      </c>
      <c r="J240" s="13" t="inlineStr">
        <is>
          <t>No standalone key</t>
        </is>
      </c>
      <c r="K240" s="13" t="inlineStr">
        <is>
          <t>metered (not configured)</t>
        </is>
      </c>
      <c r="L240" s="13" t="inlineStr">
        <is>
          <t>No</t>
        </is>
      </c>
      <c r="M240" s="13" t="n">
        <v>7</v>
      </c>
      <c r="N240" s="13" t="n">
        <v>6.4</v>
      </c>
      <c r="O240" s="13" t="n">
        <v>6.2</v>
      </c>
      <c r="P240" s="13" t="n">
        <v>6.8</v>
      </c>
      <c r="Q240" s="13">
        <f>IFERROR(ROUND(AVERAGE(M240:P240),1),"")</f>
        <v/>
      </c>
      <c r="R240" s="13" t="n">
        <v>7</v>
      </c>
      <c r="S240" s="13" t="n">
        <v>6.2</v>
      </c>
      <c r="T240" s="13" t="n">
        <v>6.2</v>
      </c>
      <c r="U240" s="13" t="n">
        <v>6.8</v>
      </c>
      <c r="V240" s="13">
        <f>IFERROR(ROUND(AVERAGE(R240:U240),1),"")</f>
        <v/>
      </c>
      <c r="W240" s="13" t="n">
        <v>7</v>
      </c>
      <c r="X240" s="13" t="n">
        <v>6.4</v>
      </c>
      <c r="Y240" s="13" t="n">
        <v>5.8</v>
      </c>
      <c r="Z240" s="13" t="n">
        <v>7</v>
      </c>
      <c r="AA240" s="13">
        <f>IFERROR(ROUND(AVERAGE(W240:Z240),1),"")</f>
        <v/>
      </c>
      <c r="AB240" s="13" t="n">
        <v>7</v>
      </c>
      <c r="AC240" s="13" t="n">
        <v>7</v>
      </c>
      <c r="AD240" s="13" t="n">
        <v>7</v>
      </c>
      <c r="AE240" s="13" t="n">
        <v>6.8</v>
      </c>
      <c r="AF240" s="13">
        <f>IFERROR(ROUND(AVERAGE(AB240:AE240),1),"")</f>
        <v/>
      </c>
      <c r="AG240" s="13" t="n">
        <v>6.4</v>
      </c>
      <c r="AH240" s="13" t="n">
        <v>5.6</v>
      </c>
      <c r="AI240" s="13" t="n">
        <v>7</v>
      </c>
      <c r="AJ240" s="13" t="n">
        <v>6.4</v>
      </c>
      <c r="AK240" s="13">
        <f>IFERROR(ROUND(AVERAGE(AG240:AJ240),1),"")</f>
        <v/>
      </c>
      <c r="AL240" s="13" t="n">
        <v>6.8</v>
      </c>
      <c r="AM240" s="13" t="n">
        <v>6.8</v>
      </c>
      <c r="AN240" s="13" t="inlineStr"/>
      <c r="AO240" s="13">
        <f>IFERROR(ROUND(AVERAGE(AL240:AN240),1),"")</f>
        <v/>
      </c>
      <c r="AP240" s="13" t="n">
        <v>9.4</v>
      </c>
      <c r="AQ240" s="13" t="n">
        <v>9.4</v>
      </c>
      <c r="AR240" s="13" t="n">
        <v>8</v>
      </c>
      <c r="AS240" s="13" t="n">
        <v>8.800000000000001</v>
      </c>
      <c r="AT240" s="13">
        <f>IFERROR(ROUND(AVERAGE(AP240:AS240),1),"")</f>
        <v/>
      </c>
      <c r="AU240" s="13" t="n">
        <v>7.2</v>
      </c>
      <c r="AV240" s="13" t="n">
        <v>7.4</v>
      </c>
      <c r="AW240" s="13" t="n">
        <v>8</v>
      </c>
      <c r="AX240" s="13" t="n">
        <v>7.2</v>
      </c>
      <c r="AY240" s="13">
        <f>IFERROR(ROUND(AVERAGE(AU240:AX240),1),"")</f>
        <v/>
      </c>
      <c r="AZ240" s="13">
        <f>ROUND(0.19*N(Q240)+0.17*N(V240)+0.17*N(AA240)+0.1*N(AF240)+0.09*N(AK240)+0.12*N(AT240)+0.16*N(AY240),1)</f>
        <v/>
      </c>
      <c r="BA240" s="13" t="inlineStr">
        <is>
          <t>400K</t>
        </is>
      </c>
      <c r="BB240" s="13" t="n">
        <v>64000</v>
      </c>
      <c r="BC240" s="13" t="inlineStr"/>
      <c r="BD240" s="13" t="inlineStr"/>
      <c r="BE240" s="13" t="inlineStr">
        <is>
          <t>medium</t>
        </is>
      </c>
      <c r="BF240" s="13" t="n">
        <v>3</v>
      </c>
      <c r="BG240" s="13" t="n">
        <v>3</v>
      </c>
      <c r="BH240" s="13" t="inlineStr">
        <is>
          <t>Cheapest/fastest GPT-5.4 for simple tasks</t>
        </is>
      </c>
      <c r="BI240" s="13" t="inlineStr">
        <is>
          <t>Depth</t>
        </is>
      </c>
      <c r="BJ240" s="15" t="inlineStr">
        <is>
          <t>M</t>
        </is>
      </c>
      <c r="BK240" s="13" t="inlineStr">
        <is>
          <t>GPT-5.4 nano (provider-doc); family-inherited estimate (scaled from flagship); verify before HIGH-stakes routing</t>
        </is>
      </c>
      <c r="BL240" s="13" t="inlineStr">
        <is>
          <t>2026-06-07</t>
        </is>
      </c>
    </row>
    <row r="241">
      <c r="A241" s="13" t="inlineStr">
        <is>
          <t>gpt-5.4-nano</t>
        </is>
      </c>
      <c r="B241" s="13" t="inlineStr">
        <is>
          <t>GPT-5.4 Nano</t>
        </is>
      </c>
      <c r="C241" s="13" t="inlineStr">
        <is>
          <t>OpenAI</t>
        </is>
      </c>
      <c r="D241" s="13" t="inlineStr">
        <is>
          <t>GPT-5.x</t>
        </is>
      </c>
      <c r="E241" s="13" t="inlineStr">
        <is>
          <t>5.4-nano</t>
        </is>
      </c>
      <c r="F241" s="13" t="inlineStr">
        <is>
          <t>Current</t>
        </is>
      </c>
      <c r="G241" s="13" t="inlineStr">
        <is>
          <t>Fast-Cheap</t>
        </is>
      </c>
      <c r="H241" s="13" t="inlineStr">
        <is>
          <t>GitHub Models (AI Toolkit)</t>
        </is>
      </c>
      <c r="I241" s="13" t="inlineStr">
        <is>
          <t>Aggregator</t>
        </is>
      </c>
      <c r="J241" s="13" t="inlineStr">
        <is>
          <t>Configured</t>
        </is>
      </c>
      <c r="K241" s="13" t="inlineStr">
        <is>
          <t>subscription_included</t>
        </is>
      </c>
      <c r="L241" s="13" t="inlineStr">
        <is>
          <t>No</t>
        </is>
      </c>
      <c r="M241" s="13" t="n">
        <v>7</v>
      </c>
      <c r="N241" s="13" t="n">
        <v>6.4</v>
      </c>
      <c r="O241" s="13" t="n">
        <v>6.2</v>
      </c>
      <c r="P241" s="13" t="n">
        <v>6.8</v>
      </c>
      <c r="Q241" s="13">
        <f>IFERROR(ROUND(AVERAGE(M241:P241),1),"")</f>
        <v/>
      </c>
      <c r="R241" s="13" t="n">
        <v>7</v>
      </c>
      <c r="S241" s="13" t="n">
        <v>6.2</v>
      </c>
      <c r="T241" s="13" t="n">
        <v>6.2</v>
      </c>
      <c r="U241" s="13" t="n">
        <v>6.8</v>
      </c>
      <c r="V241" s="13">
        <f>IFERROR(ROUND(AVERAGE(R241:U241),1),"")</f>
        <v/>
      </c>
      <c r="W241" s="13" t="n">
        <v>7</v>
      </c>
      <c r="X241" s="13" t="n">
        <v>6.4</v>
      </c>
      <c r="Y241" s="13" t="n">
        <v>5.8</v>
      </c>
      <c r="Z241" s="13" t="n">
        <v>7</v>
      </c>
      <c r="AA241" s="13">
        <f>IFERROR(ROUND(AVERAGE(W241:Z241),1),"")</f>
        <v/>
      </c>
      <c r="AB241" s="13" t="n">
        <v>7</v>
      </c>
      <c r="AC241" s="13" t="n">
        <v>7</v>
      </c>
      <c r="AD241" s="13" t="n">
        <v>7</v>
      </c>
      <c r="AE241" s="13" t="n">
        <v>6.8</v>
      </c>
      <c r="AF241" s="13">
        <f>IFERROR(ROUND(AVERAGE(AB241:AE241),1),"")</f>
        <v/>
      </c>
      <c r="AG241" s="13" t="n">
        <v>6.4</v>
      </c>
      <c r="AH241" s="13" t="n">
        <v>5.6</v>
      </c>
      <c r="AI241" s="13" t="n">
        <v>7</v>
      </c>
      <c r="AJ241" s="13" t="n">
        <v>6.4</v>
      </c>
      <c r="AK241" s="13">
        <f>IFERROR(ROUND(AVERAGE(AG241:AJ241),1),"")</f>
        <v/>
      </c>
      <c r="AL241" s="13" t="n">
        <v>6.8</v>
      </c>
      <c r="AM241" s="13" t="n">
        <v>6.8</v>
      </c>
      <c r="AN241" s="13" t="inlineStr"/>
      <c r="AO241" s="13">
        <f>IFERROR(ROUND(AVERAGE(AL241:AN241),1),"")</f>
        <v/>
      </c>
      <c r="AP241" s="13" t="n">
        <v>9.4</v>
      </c>
      <c r="AQ241" s="13" t="n">
        <v>9.4</v>
      </c>
      <c r="AR241" s="13" t="n">
        <v>8</v>
      </c>
      <c r="AS241" s="13" t="n">
        <v>8.800000000000001</v>
      </c>
      <c r="AT241" s="13">
        <f>IFERROR(ROUND(AVERAGE(AP241:AS241),1),"")</f>
        <v/>
      </c>
      <c r="AU241" s="13" t="n">
        <v>7.2</v>
      </c>
      <c r="AV241" s="13" t="n">
        <v>7.4</v>
      </c>
      <c r="AW241" s="13" t="n">
        <v>8</v>
      </c>
      <c r="AX241" s="13" t="n">
        <v>7.2</v>
      </c>
      <c r="AY241" s="13">
        <f>IFERROR(ROUND(AVERAGE(AU241:AX241),1),"")</f>
        <v/>
      </c>
      <c r="AZ241" s="13">
        <f>ROUND(0.19*N(Q241)+0.17*N(V241)+0.17*N(AA241)+0.1*N(AF241)+0.09*N(AK241)+0.12*N(AT241)+0.16*N(AY241),1)</f>
        <v/>
      </c>
      <c r="BA241" s="13" t="inlineStr">
        <is>
          <t>400K</t>
        </is>
      </c>
      <c r="BB241" s="13" t="n">
        <v>64000</v>
      </c>
      <c r="BC241" s="13" t="inlineStr"/>
      <c r="BD241" s="13" t="inlineStr"/>
      <c r="BE241" s="13" t="inlineStr">
        <is>
          <t>medium</t>
        </is>
      </c>
      <c r="BF241" s="13" t="n">
        <v>3</v>
      </c>
      <c r="BG241" s="13" t="n">
        <v>3</v>
      </c>
      <c r="BH241" s="13" t="inlineStr">
        <is>
          <t>Cheapest/fastest GPT-5.4 for simple tasks</t>
        </is>
      </c>
      <c r="BI241" s="13" t="inlineStr">
        <is>
          <t>Depth</t>
        </is>
      </c>
      <c r="BJ241" s="15" t="inlineStr">
        <is>
          <t>M</t>
        </is>
      </c>
      <c r="BK241" s="13" t="inlineStr">
        <is>
          <t>GPT-5.4 nano (provider-doc); family-inherited estimate (scaled from flagship); verify before HIGH-stakes routing</t>
        </is>
      </c>
      <c r="BL241" s="13" t="inlineStr">
        <is>
          <t>2026-06-07</t>
        </is>
      </c>
    </row>
  </sheetData>
  <mergeCells count="8">
    <mergeCell ref="R1:V1"/>
    <mergeCell ref="AB1:AF1"/>
    <mergeCell ref="AG1:AK1"/>
    <mergeCell ref="AU1:AY1"/>
    <mergeCell ref="W1:AA1"/>
    <mergeCell ref="AP1:AT1"/>
    <mergeCell ref="AL1:AO1"/>
    <mergeCell ref="M1:Q1"/>
  </mergeCells>
  <conditionalFormatting sqref="M3:M241">
    <cfRule type="colorScale" priority="1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N3:N241">
    <cfRule type="colorScale" priority="2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O3:O241">
    <cfRule type="colorScale" priority="3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P3:P241">
    <cfRule type="colorScale" priority="4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R3:R241">
    <cfRule type="colorScale" priority="5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S3:S241">
    <cfRule type="colorScale" priority="6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T3:T241">
    <cfRule type="colorScale" priority="7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U3:U241">
    <cfRule type="colorScale" priority="8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W3:W241">
    <cfRule type="colorScale" priority="9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X3:X241">
    <cfRule type="colorScale" priority="10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Y3:Y241">
    <cfRule type="colorScale" priority="11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Z3:Z241">
    <cfRule type="colorScale" priority="12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AB3:AB241">
    <cfRule type="colorScale" priority="13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AC3:AC241">
    <cfRule type="colorScale" priority="14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AD3:AD241">
    <cfRule type="colorScale" priority="15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AE3:AE241">
    <cfRule type="colorScale" priority="16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AG3:AG241">
    <cfRule type="colorScale" priority="17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AH3:AH241">
    <cfRule type="colorScale" priority="18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AI3:AI241">
    <cfRule type="colorScale" priority="19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AJ3:AJ241">
    <cfRule type="colorScale" priority="20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AL3:AL241">
    <cfRule type="colorScale" priority="21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AM3:AM241">
    <cfRule type="colorScale" priority="22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AN3:AN241">
    <cfRule type="colorScale" priority="23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AP3:AP241">
    <cfRule type="colorScale" priority="24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AQ3:AQ241">
    <cfRule type="colorScale" priority="25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AR3:AR241">
    <cfRule type="colorScale" priority="26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AS3:AS241">
    <cfRule type="colorScale" priority="27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AU3:AU241">
    <cfRule type="colorScale" priority="28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AV3:AV241">
    <cfRule type="colorScale" priority="29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AW3:AW241">
    <cfRule type="colorScale" priority="30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AX3:AX241">
    <cfRule type="colorScale" priority="31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Q3:Q241">
    <cfRule type="colorScale" priority="32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V3:V241">
    <cfRule type="colorScale" priority="33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AA3:AA241">
    <cfRule type="colorScale" priority="34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AF3:AF241">
    <cfRule type="colorScale" priority="35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AK3:AK241">
    <cfRule type="colorScale" priority="36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AO3:AO241">
    <cfRule type="colorScale" priority="37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AT3:AT241">
    <cfRule type="colorScale" priority="38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AY3:AY241">
    <cfRule type="colorScale" priority="39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AZ3:AZ241">
    <cfRule type="colorScale" priority="40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6" customWidth="1" min="2" max="2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40" customWidth="1" min="19" max="19"/>
  </cols>
  <sheetData>
    <row r="1">
      <c r="J1" s="17" t="inlineStr">
        <is>
          <t>Quality Stats (0-10)</t>
        </is>
      </c>
    </row>
    <row r="2" ht="42" customHeight="1">
      <c r="A2" s="12" t="inlineStr">
        <is>
          <t>Model ID</t>
        </is>
      </c>
      <c r="B2" s="12" t="inlineStr">
        <is>
          <t>Model Name</t>
        </is>
      </c>
      <c r="C2" s="12" t="inlineStr">
        <is>
          <t>Provider</t>
        </is>
      </c>
      <c r="D2" s="12" t="inlineStr">
        <is>
          <t>Status</t>
        </is>
      </c>
      <c r="E2" s="12" t="inlineStr">
        <is>
          <t>Routing Surface</t>
        </is>
      </c>
      <c r="F2" s="12" t="inlineStr">
        <is>
          <t>Surface Type</t>
        </is>
      </c>
      <c r="G2" s="12" t="inlineStr">
        <is>
          <t>Auth on Dell</t>
        </is>
      </c>
      <c r="H2" s="12" t="inlineStr">
        <is>
          <t>Billing Class</t>
        </is>
      </c>
      <c r="I2" s="12" t="inlineStr">
        <is>
          <t>Runs Local</t>
        </is>
      </c>
      <c r="J2" s="12" t="inlineStr">
        <is>
          <t>Embed Quality (MTEB)</t>
        </is>
      </c>
      <c r="K2" s="12" t="inlineStr">
        <is>
          <t>Multilingual</t>
        </is>
      </c>
      <c r="L2" s="12" t="inlineStr">
        <is>
          <t>Retrieval</t>
        </is>
      </c>
      <c r="M2" s="12" t="inlineStr">
        <is>
          <t>Speed</t>
        </is>
      </c>
      <c r="N2" s="12" t="inlineStr">
        <is>
          <t>Cost-Efficiency</t>
        </is>
      </c>
      <c r="O2" s="12" t="inlineStr">
        <is>
          <t>OVERALL ★</t>
        </is>
      </c>
      <c r="P2" s="12" t="inlineStr">
        <is>
          <t>Dimensions</t>
        </is>
      </c>
      <c r="Q2" s="12" t="inlineStr">
        <is>
          <t>Max Input</t>
        </is>
      </c>
      <c r="R2" s="12" t="inlineStr">
        <is>
          <t>Confidence</t>
        </is>
      </c>
      <c r="S2" s="12" t="inlineStr">
        <is>
          <t>Sources</t>
        </is>
      </c>
      <c r="T2" s="12" t="inlineStr">
        <is>
          <t>Last Verified</t>
        </is>
      </c>
    </row>
    <row r="3">
      <c r="A3" s="13" t="inlineStr">
        <is>
          <t>text-embedding-3-large</t>
        </is>
      </c>
      <c r="B3" s="13" t="inlineStr">
        <is>
          <t>Text Embedding 3 Large</t>
        </is>
      </c>
      <c r="C3" s="13" t="inlineStr">
        <is>
          <t>OpenAI</t>
        </is>
      </c>
      <c r="D3" s="13" t="inlineStr">
        <is>
          <t>Current</t>
        </is>
      </c>
      <c r="E3" s="13" t="inlineStr">
        <is>
          <t>OpenAI API</t>
        </is>
      </c>
      <c r="F3" s="13" t="inlineStr">
        <is>
          <t>HTTP API</t>
        </is>
      </c>
      <c r="G3" s="13" t="inlineStr">
        <is>
          <t>No standalone key</t>
        </is>
      </c>
      <c r="H3" s="13" t="inlineStr">
        <is>
          <t>metered (not configured)</t>
        </is>
      </c>
      <c r="I3" s="13" t="inlineStr">
        <is>
          <t>No</t>
        </is>
      </c>
      <c r="J3" s="13" t="n">
        <v>7.8</v>
      </c>
      <c r="K3" s="13" t="n">
        <v>7.4</v>
      </c>
      <c r="L3" s="13" t="n">
        <v>7.8</v>
      </c>
      <c r="M3" s="13" t="n">
        <v>8</v>
      </c>
      <c r="N3" s="13" t="n">
        <v>7</v>
      </c>
      <c r="O3" s="13">
        <f>IFERROR(ROUND(AVERAGE(J3:N3),1),"")</f>
        <v/>
      </c>
      <c r="P3" s="13" t="inlineStr">
        <is>
          <t>3072 dims</t>
        </is>
      </c>
      <c r="Q3" s="13" t="inlineStr">
        <is>
          <t>8191 tok</t>
        </is>
      </c>
      <c r="R3" s="15" t="inlineStr">
        <is>
          <t>M</t>
        </is>
      </c>
      <c r="S3" s="13" t="inlineStr">
        <is>
          <t>MTEB ~64.6; OpenAI docs</t>
        </is>
      </c>
      <c r="T3" s="13" t="inlineStr">
        <is>
          <t>2026-06-07</t>
        </is>
      </c>
    </row>
    <row r="4">
      <c r="A4" s="13" t="inlineStr">
        <is>
          <t>text-embedding-3-large</t>
        </is>
      </c>
      <c r="B4" s="13" t="inlineStr">
        <is>
          <t>Text Embedding 3 Large</t>
        </is>
      </c>
      <c r="C4" s="13" t="inlineStr">
        <is>
          <t>OpenAI</t>
        </is>
      </c>
      <c r="D4" s="13" t="inlineStr">
        <is>
          <t>Current</t>
        </is>
      </c>
      <c r="E4" s="13" t="inlineStr">
        <is>
          <t>Azure AI Foundry</t>
        </is>
      </c>
      <c r="F4" s="13" t="inlineStr">
        <is>
          <t>Aggregator</t>
        </is>
      </c>
      <c r="G4" s="13" t="inlineStr">
        <is>
          <t>Not credentialed</t>
        </is>
      </c>
      <c r="H4" s="13" t="inlineStr">
        <is>
          <t>metered (not configured)</t>
        </is>
      </c>
      <c r="I4" s="13" t="inlineStr">
        <is>
          <t>No</t>
        </is>
      </c>
      <c r="J4" s="13" t="n">
        <v>7.8</v>
      </c>
      <c r="K4" s="13" t="n">
        <v>7.4</v>
      </c>
      <c r="L4" s="13" t="n">
        <v>7.8</v>
      </c>
      <c r="M4" s="13" t="n">
        <v>8</v>
      </c>
      <c r="N4" s="13" t="n">
        <v>7</v>
      </c>
      <c r="O4" s="13">
        <f>IFERROR(ROUND(AVERAGE(J4:N4),1),"")</f>
        <v/>
      </c>
      <c r="P4" s="13" t="inlineStr">
        <is>
          <t>3072 dims</t>
        </is>
      </c>
      <c r="Q4" s="13" t="inlineStr">
        <is>
          <t>8191 tok</t>
        </is>
      </c>
      <c r="R4" s="15" t="inlineStr">
        <is>
          <t>M</t>
        </is>
      </c>
      <c r="S4" s="13" t="inlineStr">
        <is>
          <t>MTEB ~64.6; OpenAI docs</t>
        </is>
      </c>
      <c r="T4" s="13" t="inlineStr">
        <is>
          <t>2026-06-07</t>
        </is>
      </c>
    </row>
    <row r="5">
      <c r="A5" s="13" t="inlineStr">
        <is>
          <t>text-embedding-3-small</t>
        </is>
      </c>
      <c r="B5" s="13" t="inlineStr">
        <is>
          <t>Text Embedding 3 Small</t>
        </is>
      </c>
      <c r="C5" s="13" t="inlineStr">
        <is>
          <t>OpenAI</t>
        </is>
      </c>
      <c r="D5" s="13" t="inlineStr">
        <is>
          <t>Current</t>
        </is>
      </c>
      <c r="E5" s="13" t="inlineStr">
        <is>
          <t>OpenAI API</t>
        </is>
      </c>
      <c r="F5" s="13" t="inlineStr">
        <is>
          <t>HTTP API</t>
        </is>
      </c>
      <c r="G5" s="13" t="inlineStr">
        <is>
          <t>No standalone key</t>
        </is>
      </c>
      <c r="H5" s="13" t="inlineStr">
        <is>
          <t>metered (not configured)</t>
        </is>
      </c>
      <c r="I5" s="13" t="inlineStr">
        <is>
          <t>No</t>
        </is>
      </c>
      <c r="J5" s="13" t="n">
        <v>7</v>
      </c>
      <c r="K5" s="13" t="n">
        <v>6.8</v>
      </c>
      <c r="L5" s="13" t="n">
        <v>7</v>
      </c>
      <c r="M5" s="13" t="n">
        <v>9</v>
      </c>
      <c r="N5" s="13" t="n">
        <v>9</v>
      </c>
      <c r="O5" s="13">
        <f>IFERROR(ROUND(AVERAGE(J5:N5),1),"")</f>
        <v/>
      </c>
      <c r="P5" s="13" t="inlineStr">
        <is>
          <t>1536 dims</t>
        </is>
      </c>
      <c r="Q5" s="13" t="inlineStr">
        <is>
          <t>8191 tok</t>
        </is>
      </c>
      <c r="R5" s="15" t="inlineStr">
        <is>
          <t>M</t>
        </is>
      </c>
      <c r="S5" s="13" t="inlineStr">
        <is>
          <t>Cheaper OAI embed; MTEB ~62</t>
        </is>
      </c>
      <c r="T5" s="13" t="inlineStr">
        <is>
          <t>2026-06-07</t>
        </is>
      </c>
    </row>
    <row r="6">
      <c r="A6" s="13" t="inlineStr">
        <is>
          <t>embed-multilingual-v3.0</t>
        </is>
      </c>
      <c r="B6" s="13" t="inlineStr">
        <is>
          <t>Cohere Embed v3 Multilingual</t>
        </is>
      </c>
      <c r="C6" s="13" t="inlineStr">
        <is>
          <t>Cohere</t>
        </is>
      </c>
      <c r="D6" s="13" t="inlineStr">
        <is>
          <t>Current</t>
        </is>
      </c>
      <c r="E6" s="13" t="inlineStr">
        <is>
          <t>Cohere API</t>
        </is>
      </c>
      <c r="F6" s="13" t="inlineStr">
        <is>
          <t>HTTP API</t>
        </is>
      </c>
      <c r="G6" s="13" t="inlineStr">
        <is>
          <t>Not-keyed</t>
        </is>
      </c>
      <c r="H6" s="13" t="inlineStr">
        <is>
          <t>metered (not configured)</t>
        </is>
      </c>
      <c r="I6" s="13" t="inlineStr">
        <is>
          <t>No</t>
        </is>
      </c>
      <c r="J6" s="13" t="n">
        <v>7.6</v>
      </c>
      <c r="K6" s="13" t="n">
        <v>8.6</v>
      </c>
      <c r="L6" s="13" t="n">
        <v>7.8</v>
      </c>
      <c r="M6" s="13" t="n">
        <v>8</v>
      </c>
      <c r="N6" s="13" t="n">
        <v>7.5</v>
      </c>
      <c r="O6" s="13">
        <f>IFERROR(ROUND(AVERAGE(J6:N6),1),"")</f>
        <v/>
      </c>
      <c r="P6" s="13" t="inlineStr">
        <is>
          <t>1024 dims</t>
        </is>
      </c>
      <c r="Q6" s="13" t="inlineStr">
        <is>
          <t>512 tok</t>
        </is>
      </c>
      <c r="R6" s="15" t="inlineStr">
        <is>
          <t>M</t>
        </is>
      </c>
      <c r="S6" s="13" t="inlineStr">
        <is>
          <t>100+ langs; MTEB-strong</t>
        </is>
      </c>
      <c r="T6" s="13" t="inlineStr">
        <is>
          <t>2026-06-07</t>
        </is>
      </c>
    </row>
    <row r="7">
      <c r="A7" s="13" t="inlineStr">
        <is>
          <t>embed-multilingual-v3.0</t>
        </is>
      </c>
      <c r="B7" s="13" t="inlineStr">
        <is>
          <t>Cohere Embed v3 Multilingual</t>
        </is>
      </c>
      <c r="C7" s="13" t="inlineStr">
        <is>
          <t>Cohere</t>
        </is>
      </c>
      <c r="D7" s="13" t="inlineStr">
        <is>
          <t>Current</t>
        </is>
      </c>
      <c r="E7" s="13" t="inlineStr">
        <is>
          <t>Amazon Bedrock (Kiro)</t>
        </is>
      </c>
      <c r="F7" s="13" t="inlineStr">
        <is>
          <t>Aggregator</t>
        </is>
      </c>
      <c r="G7" s="13" t="inlineStr">
        <is>
          <t>Installed; login unverified</t>
        </is>
      </c>
      <c r="H7" s="13" t="inlineStr">
        <is>
          <t>metered (not configured)</t>
        </is>
      </c>
      <c r="I7" s="13" t="inlineStr">
        <is>
          <t>No</t>
        </is>
      </c>
      <c r="J7" s="13" t="n">
        <v>7.6</v>
      </c>
      <c r="K7" s="13" t="n">
        <v>8.6</v>
      </c>
      <c r="L7" s="13" t="n">
        <v>7.8</v>
      </c>
      <c r="M7" s="13" t="n">
        <v>8</v>
      </c>
      <c r="N7" s="13" t="n">
        <v>7.5</v>
      </c>
      <c r="O7" s="13">
        <f>IFERROR(ROUND(AVERAGE(J7:N7),1),"")</f>
        <v/>
      </c>
      <c r="P7" s="13" t="inlineStr">
        <is>
          <t>1024 dims</t>
        </is>
      </c>
      <c r="Q7" s="13" t="inlineStr">
        <is>
          <t>512 tok</t>
        </is>
      </c>
      <c r="R7" s="15" t="inlineStr">
        <is>
          <t>M</t>
        </is>
      </c>
      <c r="S7" s="13" t="inlineStr">
        <is>
          <t>100+ langs; MTEB-strong</t>
        </is>
      </c>
      <c r="T7" s="13" t="inlineStr">
        <is>
          <t>2026-06-07</t>
        </is>
      </c>
    </row>
    <row r="8">
      <c r="A8" s="13" t="inlineStr">
        <is>
          <t>gemini-embedding-2</t>
        </is>
      </c>
      <c r="B8" s="13" t="inlineStr">
        <is>
          <t>Gemini Embedding 2</t>
        </is>
      </c>
      <c r="C8" s="13" t="inlineStr">
        <is>
          <t>Google</t>
        </is>
      </c>
      <c r="D8" s="13" t="inlineStr">
        <is>
          <t>Current</t>
        </is>
      </c>
      <c r="E8" s="13" t="inlineStr">
        <is>
          <t>Google Gemini API</t>
        </is>
      </c>
      <c r="F8" s="13" t="inlineStr">
        <is>
          <t>HTTP API</t>
        </is>
      </c>
      <c r="G8" s="13" t="inlineStr">
        <is>
          <t>Working (re-authed)</t>
        </is>
      </c>
      <c r="H8" s="13" t="inlineStr">
        <is>
          <t>subscription_included</t>
        </is>
      </c>
      <c r="I8" s="13" t="inlineStr">
        <is>
          <t>No</t>
        </is>
      </c>
      <c r="J8" s="13" t="n">
        <v>9</v>
      </c>
      <c r="K8" s="13" t="n">
        <v>8.800000000000001</v>
      </c>
      <c r="L8" s="13" t="n">
        <v>9</v>
      </c>
      <c r="M8" s="13" t="n">
        <v>7.8</v>
      </c>
      <c r="N8" s="13" t="n">
        <v>7.2</v>
      </c>
      <c r="O8" s="13">
        <f>IFERROR(ROUND(AVERAGE(J8:N8),1),"")</f>
        <v/>
      </c>
      <c r="P8" s="13" t="inlineStr">
        <is>
          <t>3072 dims (MRL 1536/768 supported)</t>
        </is>
      </c>
      <c r="Q8" s="13" t="inlineStr">
        <is>
          <t>8192 tok + multimodal</t>
        </is>
      </c>
      <c r="R8" s="14" t="inlineStr">
        <is>
          <t>H</t>
        </is>
      </c>
      <c r="S8" s="13" t="inlineStr">
        <is>
          <t>Google Developers Blog: GA via Gemini API; text/image/video/audio/PDF unified embedding space</t>
        </is>
      </c>
      <c r="T8" s="13" t="inlineStr">
        <is>
          <t>2026-06-07</t>
        </is>
      </c>
    </row>
    <row r="9">
      <c r="A9" s="13" t="inlineStr">
        <is>
          <t>qwen3-embedding:4b</t>
        </is>
      </c>
      <c r="B9" s="13" t="inlineStr">
        <is>
          <t>Qwen3 Embedding 4B (local)</t>
        </is>
      </c>
      <c r="C9" s="13" t="inlineStr">
        <is>
          <t>Alibaba</t>
        </is>
      </c>
      <c r="D9" s="13" t="inlineStr">
        <is>
          <t>Current</t>
        </is>
      </c>
      <c r="E9" s="13" t="inlineStr">
        <is>
          <t>Ollama (local)</t>
        </is>
      </c>
      <c r="F9" s="13" t="inlineStr">
        <is>
          <t>Local</t>
        </is>
      </c>
      <c r="G9" s="13" t="inlineStr">
        <is>
          <t>Running (free)</t>
        </is>
      </c>
      <c r="H9" s="13" t="inlineStr">
        <is>
          <t>local_free</t>
        </is>
      </c>
      <c r="I9" s="13" t="inlineStr">
        <is>
          <t>Yes</t>
        </is>
      </c>
      <c r="J9" s="13" t="n">
        <v>8.199999999999999</v>
      </c>
      <c r="K9" s="13" t="n">
        <v>8</v>
      </c>
      <c r="L9" s="13" t="n">
        <v>8.199999999999999</v>
      </c>
      <c r="M9" s="13" t="n">
        <v>7</v>
      </c>
      <c r="N9" s="13" t="n">
        <v>9.6</v>
      </c>
      <c r="O9" s="13">
        <f>IFERROR(ROUND(AVERAGE(J9:N9),1),"")</f>
        <v/>
      </c>
      <c r="P9" s="13" t="inlineStr">
        <is>
          <t>2560 dims</t>
        </is>
      </c>
      <c r="Q9" s="13" t="inlineStr">
        <is>
          <t>32K tok</t>
        </is>
      </c>
      <c r="R9" s="15" t="inlineStr">
        <is>
          <t>M</t>
        </is>
      </c>
      <c r="S9" s="13" t="inlineStr">
        <is>
          <t>Qwen3-Embedding (8B MTEB ~70); local on Dell</t>
        </is>
      </c>
      <c r="T9" s="13" t="inlineStr">
        <is>
          <t>2026-06-07</t>
        </is>
      </c>
    </row>
    <row r="10">
      <c r="A10" s="13" t="inlineStr">
        <is>
          <t>qwen3-embedding:0.6b</t>
        </is>
      </c>
      <c r="B10" s="13" t="inlineStr">
        <is>
          <t>Qwen3 Embedding 0.6B (local)</t>
        </is>
      </c>
      <c r="C10" s="13" t="inlineStr">
        <is>
          <t>Alibaba</t>
        </is>
      </c>
      <c r="D10" s="13" t="inlineStr">
        <is>
          <t>Current</t>
        </is>
      </c>
      <c r="E10" s="13" t="inlineStr">
        <is>
          <t>Ollama (local)</t>
        </is>
      </c>
      <c r="F10" s="13" t="inlineStr">
        <is>
          <t>Local</t>
        </is>
      </c>
      <c r="G10" s="13" t="inlineStr">
        <is>
          <t>Running (free)</t>
        </is>
      </c>
      <c r="H10" s="13" t="inlineStr">
        <is>
          <t>local_free</t>
        </is>
      </c>
      <c r="I10" s="13" t="inlineStr">
        <is>
          <t>Yes</t>
        </is>
      </c>
      <c r="J10" s="13" t="n">
        <v>7.2</v>
      </c>
      <c r="K10" s="13" t="n">
        <v>7</v>
      </c>
      <c r="L10" s="13" t="n">
        <v>7.2</v>
      </c>
      <c r="M10" s="13" t="n">
        <v>8.5</v>
      </c>
      <c r="N10" s="13" t="n">
        <v>9.800000000000001</v>
      </c>
      <c r="O10" s="13">
        <f>IFERROR(ROUND(AVERAGE(J10:N10),1),"")</f>
        <v/>
      </c>
      <c r="P10" s="13" t="inlineStr">
        <is>
          <t>1024 dims</t>
        </is>
      </c>
      <c r="Q10" s="13" t="inlineStr">
        <is>
          <t>32K tok</t>
        </is>
      </c>
      <c r="R10" s="16" t="inlineStr">
        <is>
          <t>L</t>
        </is>
      </c>
      <c r="S10" s="13" t="inlineStr">
        <is>
          <t>Tiny local embed</t>
        </is>
      </c>
      <c r="T10" s="13" t="inlineStr">
        <is>
          <t>2026-06-07</t>
        </is>
      </c>
    </row>
    <row r="11">
      <c r="A11" s="13" t="inlineStr">
        <is>
          <t>nomic-embed-text</t>
        </is>
      </c>
      <c r="B11" s="13" t="inlineStr">
        <is>
          <t>Nomic Embed Text (local)</t>
        </is>
      </c>
      <c r="C11" s="13" t="inlineStr">
        <is>
          <t>Nomic</t>
        </is>
      </c>
      <c r="D11" s="13" t="inlineStr">
        <is>
          <t>Current</t>
        </is>
      </c>
      <c r="E11" s="13" t="inlineStr">
        <is>
          <t>Ollama (local)</t>
        </is>
      </c>
      <c r="F11" s="13" t="inlineStr">
        <is>
          <t>Local</t>
        </is>
      </c>
      <c r="G11" s="13" t="inlineStr">
        <is>
          <t>Running (free)</t>
        </is>
      </c>
      <c r="H11" s="13" t="inlineStr">
        <is>
          <t>local_free</t>
        </is>
      </c>
      <c r="I11" s="13" t="inlineStr">
        <is>
          <t>Yes</t>
        </is>
      </c>
      <c r="J11" s="13" t="n">
        <v>6.8</v>
      </c>
      <c r="K11" s="13" t="n">
        <v>6.2</v>
      </c>
      <c r="L11" s="13" t="n">
        <v>6.8</v>
      </c>
      <c r="M11" s="13" t="n">
        <v>8.5</v>
      </c>
      <c r="N11" s="13" t="n">
        <v>9.6</v>
      </c>
      <c r="O11" s="13">
        <f>IFERROR(ROUND(AVERAGE(J11:N11),1),"")</f>
        <v/>
      </c>
      <c r="P11" s="13" t="inlineStr">
        <is>
          <t>768 dims</t>
        </is>
      </c>
      <c r="Q11" s="13" t="inlineStr">
        <is>
          <t>8192 tok</t>
        </is>
      </c>
      <c r="R11" s="15" t="inlineStr">
        <is>
          <t>M</t>
        </is>
      </c>
      <c r="S11" s="13" t="inlineStr">
        <is>
          <t>Open local embed; MTEB ~62</t>
        </is>
      </c>
      <c r="T11" s="13" t="inlineStr">
        <is>
          <t>2026-06-07</t>
        </is>
      </c>
    </row>
    <row r="12">
      <c r="A12" s="13" t="inlineStr">
        <is>
          <t>codestral-embed-25-05</t>
        </is>
      </c>
      <c r="B12" s="13" t="inlineStr">
        <is>
          <t>Codestral Embed</t>
        </is>
      </c>
      <c r="C12" s="13" t="inlineStr">
        <is>
          <t>Mistral</t>
        </is>
      </c>
      <c r="D12" s="13" t="inlineStr">
        <is>
          <t>Current</t>
        </is>
      </c>
      <c r="E12" s="13" t="inlineStr">
        <is>
          <t>Mistral API</t>
        </is>
      </c>
      <c r="F12" s="13" t="inlineStr">
        <is>
          <t>HTTP API</t>
        </is>
      </c>
      <c r="G12" s="13" t="inlineStr">
        <is>
          <t>Not-keyed</t>
        </is>
      </c>
      <c r="H12" s="13" t="inlineStr">
        <is>
          <t>metered (not configured)</t>
        </is>
      </c>
      <c r="I12" s="13" t="inlineStr">
        <is>
          <t>No</t>
        </is>
      </c>
      <c r="J12" s="13" t="n">
        <v>7.2</v>
      </c>
      <c r="K12" s="13" t="n">
        <v>6.5</v>
      </c>
      <c r="L12" s="13" t="n">
        <v>7.6</v>
      </c>
      <c r="M12" s="13" t="n">
        <v>8</v>
      </c>
      <c r="N12" s="13" t="n">
        <v>7.5</v>
      </c>
      <c r="O12" s="13">
        <f>IFERROR(ROUND(AVERAGE(J12:N12),1),"")</f>
        <v/>
      </c>
      <c r="P12" s="13" t="inlineStr">
        <is>
          <t>1536 dims</t>
        </is>
      </c>
      <c r="Q12" s="13" t="inlineStr">
        <is>
          <t>8K tok</t>
        </is>
      </c>
      <c r="R12" s="16" t="inlineStr">
        <is>
          <t>L</t>
        </is>
      </c>
      <c r="S12" s="13" t="inlineStr">
        <is>
          <t>Code-specialized embeddings</t>
        </is>
      </c>
      <c r="T12" s="13" t="inlineStr">
        <is>
          <t>2026-06-07</t>
        </is>
      </c>
    </row>
  </sheetData>
  <mergeCells count="1">
    <mergeCell ref="J1:N1"/>
  </mergeCells>
  <conditionalFormatting sqref="J3:J12">
    <cfRule type="colorScale" priority="1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K3:K12">
    <cfRule type="colorScale" priority="2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L3:L12">
    <cfRule type="colorScale" priority="3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M3:M12">
    <cfRule type="colorScale" priority="4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N3:N12">
    <cfRule type="colorScale" priority="5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O3:O12">
    <cfRule type="colorScale" priority="6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6" customWidth="1" min="2" max="2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40" customWidth="1" min="20" max="20"/>
  </cols>
  <sheetData>
    <row r="1">
      <c r="J1" s="17" t="inlineStr">
        <is>
          <t>Quality Stats (0-10)</t>
        </is>
      </c>
    </row>
    <row r="2" ht="42" customHeight="1">
      <c r="A2" s="12" t="inlineStr">
        <is>
          <t>Model ID</t>
        </is>
      </c>
      <c r="B2" s="12" t="inlineStr">
        <is>
          <t>Model Name</t>
        </is>
      </c>
      <c r="C2" s="12" t="inlineStr">
        <is>
          <t>Provider</t>
        </is>
      </c>
      <c r="D2" s="12" t="inlineStr">
        <is>
          <t>Status</t>
        </is>
      </c>
      <c r="E2" s="12" t="inlineStr">
        <is>
          <t>Routing Surface</t>
        </is>
      </c>
      <c r="F2" s="12" t="inlineStr">
        <is>
          <t>Surface Type</t>
        </is>
      </c>
      <c r="G2" s="12" t="inlineStr">
        <is>
          <t>Auth on Dell</t>
        </is>
      </c>
      <c r="H2" s="12" t="inlineStr">
        <is>
          <t>Billing Class</t>
        </is>
      </c>
      <c r="I2" s="12" t="inlineStr">
        <is>
          <t>Runs Local</t>
        </is>
      </c>
      <c r="J2" s="12" t="inlineStr">
        <is>
          <t>Prompt Adherence</t>
        </is>
      </c>
      <c r="K2" s="12" t="inlineStr">
        <is>
          <t>Text Rendering</t>
        </is>
      </c>
      <c r="L2" s="12" t="inlineStr">
        <is>
          <t>Photorealism</t>
        </is>
      </c>
      <c r="M2" s="12" t="inlineStr">
        <is>
          <t>Style Range</t>
        </is>
      </c>
      <c r="N2" s="12" t="inlineStr">
        <is>
          <t>Speed</t>
        </is>
      </c>
      <c r="O2" s="12" t="inlineStr">
        <is>
          <t>Cost-Efficiency</t>
        </is>
      </c>
      <c r="P2" s="12" t="inlineStr">
        <is>
          <t>OVERALL ★</t>
        </is>
      </c>
      <c r="Q2" s="12" t="inlineStr">
        <is>
          <t>Max Res</t>
        </is>
      </c>
      <c r="R2" s="12" t="inlineStr">
        <is>
          <t>License</t>
        </is>
      </c>
      <c r="S2" s="12" t="inlineStr">
        <is>
          <t>Confidence</t>
        </is>
      </c>
      <c r="T2" s="12" t="inlineStr">
        <is>
          <t>Sources</t>
        </is>
      </c>
      <c r="U2" s="12" t="inlineStr">
        <is>
          <t>Last Verified</t>
        </is>
      </c>
    </row>
    <row r="3">
      <c r="A3" s="13" t="inlineStr">
        <is>
          <t>gpt-image-1.5</t>
        </is>
      </c>
      <c r="B3" s="13" t="inlineStr">
        <is>
          <t>GPT Image 1.5</t>
        </is>
      </c>
      <c r="C3" s="13" t="inlineStr">
        <is>
          <t>OpenAI</t>
        </is>
      </c>
      <c r="D3" s="13" t="inlineStr">
        <is>
          <t>Legacy (prior)</t>
        </is>
      </c>
      <c r="E3" s="13" t="inlineStr">
        <is>
          <t>OpenAI API</t>
        </is>
      </c>
      <c r="F3" s="13" t="inlineStr">
        <is>
          <t>HTTP API</t>
        </is>
      </c>
      <c r="G3" s="13" t="inlineStr">
        <is>
          <t>No standalone key</t>
        </is>
      </c>
      <c r="H3" s="13" t="inlineStr">
        <is>
          <t>metered (not configured)</t>
        </is>
      </c>
      <c r="I3" s="13" t="inlineStr">
        <is>
          <t>No</t>
        </is>
      </c>
      <c r="J3" s="13" t="n">
        <v>9</v>
      </c>
      <c r="K3" s="13" t="n">
        <v>9</v>
      </c>
      <c r="L3" s="13" t="n">
        <v>8.6</v>
      </c>
      <c r="M3" s="13" t="n">
        <v>8.6</v>
      </c>
      <c r="N3" s="13" t="n">
        <v>6.5</v>
      </c>
      <c r="O3" s="13" t="n">
        <v>5.5</v>
      </c>
      <c r="P3" s="13">
        <f>IFERROR(ROUND(AVERAGE(J3:O3),1),"")</f>
        <v/>
      </c>
      <c r="Q3" s="13" t="inlineStr">
        <is>
          <t>High res</t>
        </is>
      </c>
      <c r="R3" s="13" t="inlineStr"/>
      <c r="S3" s="14" t="inlineStr">
        <is>
          <t>H</t>
        </is>
      </c>
      <c r="T3" s="13" t="inlineStr">
        <is>
          <t>Image Arena Elo 1244 (#2-3); arena 270</t>
        </is>
      </c>
      <c r="U3" s="13" t="inlineStr">
        <is>
          <t>2026-06-07</t>
        </is>
      </c>
    </row>
    <row r="4">
      <c r="A4" s="13" t="inlineStr">
        <is>
          <t>gpt-image-1</t>
        </is>
      </c>
      <c r="B4" s="13" t="inlineStr">
        <is>
          <t>GPT Image 1</t>
        </is>
      </c>
      <c r="C4" s="13" t="inlineStr">
        <is>
          <t>OpenAI</t>
        </is>
      </c>
      <c r="D4" s="13" t="inlineStr">
        <is>
          <t>Legacy</t>
        </is>
      </c>
      <c r="E4" s="13" t="inlineStr">
        <is>
          <t>OpenAI API</t>
        </is>
      </c>
      <c r="F4" s="13" t="inlineStr">
        <is>
          <t>HTTP API</t>
        </is>
      </c>
      <c r="G4" s="13" t="inlineStr">
        <is>
          <t>No standalone key</t>
        </is>
      </c>
      <c r="H4" s="13" t="inlineStr">
        <is>
          <t>metered (not configured)</t>
        </is>
      </c>
      <c r="I4" s="13" t="inlineStr">
        <is>
          <t>No</t>
        </is>
      </c>
      <c r="J4" s="13" t="n">
        <v>8.4</v>
      </c>
      <c r="K4" s="13" t="n">
        <v>8.4</v>
      </c>
      <c r="L4" s="13" t="n">
        <v>8</v>
      </c>
      <c r="M4" s="13" t="n">
        <v>8.199999999999999</v>
      </c>
      <c r="N4" s="13" t="n">
        <v>6.8</v>
      </c>
      <c r="O4" s="13" t="n">
        <v>6</v>
      </c>
      <c r="P4" s="13">
        <f>IFERROR(ROUND(AVERAGE(J4:O4),1),"")</f>
        <v/>
      </c>
      <c r="Q4" s="13" t="inlineStr">
        <is>
          <t>High res</t>
        </is>
      </c>
      <c r="R4" s="13" t="inlineStr"/>
      <c r="S4" s="15" t="inlineStr">
        <is>
          <t>M</t>
        </is>
      </c>
      <c r="T4" s="13" t="inlineStr">
        <is>
          <t>Prior OAI image; family-inherited estimate (scaled from flagship); verify before HIGH-stakes routing</t>
        </is>
      </c>
      <c r="U4" s="13" t="inlineStr">
        <is>
          <t>2026-06-07</t>
        </is>
      </c>
    </row>
    <row r="5">
      <c r="A5" s="13" t="inlineStr">
        <is>
          <t>imagen-4.0</t>
        </is>
      </c>
      <c r="B5" s="13" t="inlineStr">
        <is>
          <t>Google Imagen 4.0</t>
        </is>
      </c>
      <c r="C5" s="13" t="inlineStr">
        <is>
          <t>Google</t>
        </is>
      </c>
      <c r="D5" s="13" t="inlineStr">
        <is>
          <t>Legacy (prior)</t>
        </is>
      </c>
      <c r="E5" s="13" t="inlineStr">
        <is>
          <t>Together AI</t>
        </is>
      </c>
      <c r="F5" s="13" t="inlineStr">
        <is>
          <t>Aggregator</t>
        </is>
      </c>
      <c r="G5" s="13" t="inlineStr">
        <is>
          <t>Not-keyed</t>
        </is>
      </c>
      <c r="H5" s="13" t="inlineStr">
        <is>
          <t>metered (not configured)</t>
        </is>
      </c>
      <c r="I5" s="13" t="inlineStr">
        <is>
          <t>No</t>
        </is>
      </c>
      <c r="J5" s="13" t="n">
        <v>8.6</v>
      </c>
      <c r="K5" s="13" t="n">
        <v>8</v>
      </c>
      <c r="L5" s="13" t="n">
        <v>8.800000000000001</v>
      </c>
      <c r="M5" s="13" t="n">
        <v>8.199999999999999</v>
      </c>
      <c r="N5" s="13" t="n">
        <v>7.5</v>
      </c>
      <c r="O5" s="13" t="n">
        <v>7</v>
      </c>
      <c r="P5" s="13">
        <f>IFERROR(ROUND(AVERAGE(J5:O5),1),"")</f>
        <v/>
      </c>
      <c r="Q5" s="13" t="inlineStr">
        <is>
          <t>2K</t>
        </is>
      </c>
      <c r="R5" s="13" t="inlineStr"/>
      <c r="S5" s="15" t="inlineStr">
        <is>
          <t>M</t>
        </is>
      </c>
      <c r="T5" s="13" t="inlineStr">
        <is>
          <t>Imagen 4 (arena mid-high)</t>
        </is>
      </c>
      <c r="U5" s="13" t="inlineStr">
        <is>
          <t>2026-06-07</t>
        </is>
      </c>
    </row>
    <row r="6">
      <c r="A6" s="13" t="inlineStr">
        <is>
          <t>imagen-4.0</t>
        </is>
      </c>
      <c r="B6" s="13" t="inlineStr">
        <is>
          <t>Google Imagen 4.0</t>
        </is>
      </c>
      <c r="C6" s="13" t="inlineStr">
        <is>
          <t>Google</t>
        </is>
      </c>
      <c r="D6" s="13" t="inlineStr">
        <is>
          <t>Legacy (prior)</t>
        </is>
      </c>
      <c r="E6" s="13" t="inlineStr">
        <is>
          <t>Google Gemini API</t>
        </is>
      </c>
      <c r="F6" s="13" t="inlineStr">
        <is>
          <t>HTTP API</t>
        </is>
      </c>
      <c r="G6" s="13" t="inlineStr">
        <is>
          <t>Working (re-authed)</t>
        </is>
      </c>
      <c r="H6" s="13" t="inlineStr">
        <is>
          <t>subscription_included</t>
        </is>
      </c>
      <c r="I6" s="13" t="inlineStr">
        <is>
          <t>No</t>
        </is>
      </c>
      <c r="J6" s="13" t="n">
        <v>8.6</v>
      </c>
      <c r="K6" s="13" t="n">
        <v>8</v>
      </c>
      <c r="L6" s="13" t="n">
        <v>8.800000000000001</v>
      </c>
      <c r="M6" s="13" t="n">
        <v>8.199999999999999</v>
      </c>
      <c r="N6" s="13" t="n">
        <v>7.5</v>
      </c>
      <c r="O6" s="13" t="n">
        <v>7</v>
      </c>
      <c r="P6" s="13">
        <f>IFERROR(ROUND(AVERAGE(J6:O6),1),"")</f>
        <v/>
      </c>
      <c r="Q6" s="13" t="inlineStr">
        <is>
          <t>2K</t>
        </is>
      </c>
      <c r="R6" s="13" t="inlineStr"/>
      <c r="S6" s="15" t="inlineStr">
        <is>
          <t>M</t>
        </is>
      </c>
      <c r="T6" s="13" t="inlineStr">
        <is>
          <t>Imagen 4 (arena mid-high)</t>
        </is>
      </c>
      <c r="U6" s="13" t="inlineStr">
        <is>
          <t>2026-06-07</t>
        </is>
      </c>
    </row>
    <row r="7">
      <c r="A7" s="13" t="inlineStr">
        <is>
          <t>black-forest-labs/FLUX.1-dev</t>
        </is>
      </c>
      <c r="B7" s="13" t="inlineStr">
        <is>
          <t>FLUX 2 Dev</t>
        </is>
      </c>
      <c r="C7" s="13" t="inlineStr">
        <is>
          <t>Black Forest Labs</t>
        </is>
      </c>
      <c r="D7" s="13" t="inlineStr">
        <is>
          <t>Current</t>
        </is>
      </c>
      <c r="E7" s="13" t="inlineStr">
        <is>
          <t>Together AI</t>
        </is>
      </c>
      <c r="F7" s="13" t="inlineStr">
        <is>
          <t>Aggregator</t>
        </is>
      </c>
      <c r="G7" s="13" t="inlineStr">
        <is>
          <t>Not-keyed</t>
        </is>
      </c>
      <c r="H7" s="13" t="inlineStr">
        <is>
          <t>metered (not configured)</t>
        </is>
      </c>
      <c r="I7" s="13" t="inlineStr">
        <is>
          <t>No</t>
        </is>
      </c>
      <c r="J7" s="13" t="n">
        <v>8.4</v>
      </c>
      <c r="K7" s="13" t="n">
        <v>7.6</v>
      </c>
      <c r="L7" s="13" t="n">
        <v>8.6</v>
      </c>
      <c r="M7" s="13" t="n">
        <v>8.4</v>
      </c>
      <c r="N7" s="13" t="n">
        <v>6.5</v>
      </c>
      <c r="O7" s="13" t="n">
        <v>9</v>
      </c>
      <c r="P7" s="13">
        <f>IFERROR(ROUND(AVERAGE(J7:O7),1),"")</f>
        <v/>
      </c>
      <c r="Q7" s="13" t="inlineStr">
        <is>
          <t>2K</t>
        </is>
      </c>
      <c r="R7" s="13" t="inlineStr">
        <is>
          <t>open-weight</t>
        </is>
      </c>
      <c r="S7" s="15" t="inlineStr">
        <is>
          <t>M</t>
        </is>
      </c>
      <c r="T7" s="13" t="inlineStr">
        <is>
          <t>FLUX 2 Dev Elo 1150 (open)</t>
        </is>
      </c>
      <c r="U7" s="13" t="inlineStr">
        <is>
          <t>2026-06-07</t>
        </is>
      </c>
    </row>
    <row r="8">
      <c r="A8" s="13" t="inlineStr">
        <is>
          <t>black-forest-labs/FLUX.1-dev</t>
        </is>
      </c>
      <c r="B8" s="13" t="inlineStr">
        <is>
          <t>FLUX 2 Dev</t>
        </is>
      </c>
      <c r="C8" s="13" t="inlineStr">
        <is>
          <t>Black Forest Labs</t>
        </is>
      </c>
      <c r="D8" s="13" t="inlineStr">
        <is>
          <t>Current</t>
        </is>
      </c>
      <c r="E8" s="13" t="inlineStr">
        <is>
          <t>Fireworks AI</t>
        </is>
      </c>
      <c r="F8" s="13" t="inlineStr">
        <is>
          <t>Aggregator</t>
        </is>
      </c>
      <c r="G8" s="13" t="inlineStr">
        <is>
          <t>Not-keyed</t>
        </is>
      </c>
      <c r="H8" s="13" t="inlineStr">
        <is>
          <t>metered (not configured)</t>
        </is>
      </c>
      <c r="I8" s="13" t="inlineStr">
        <is>
          <t>No</t>
        </is>
      </c>
      <c r="J8" s="13" t="n">
        <v>8.4</v>
      </c>
      <c r="K8" s="13" t="n">
        <v>7.6</v>
      </c>
      <c r="L8" s="13" t="n">
        <v>8.6</v>
      </c>
      <c r="M8" s="13" t="n">
        <v>8.4</v>
      </c>
      <c r="N8" s="13" t="n">
        <v>6.5</v>
      </c>
      <c r="O8" s="13" t="n">
        <v>9</v>
      </c>
      <c r="P8" s="13">
        <f>IFERROR(ROUND(AVERAGE(J8:O8),1),"")</f>
        <v/>
      </c>
      <c r="Q8" s="13" t="inlineStr">
        <is>
          <t>2K</t>
        </is>
      </c>
      <c r="R8" s="13" t="inlineStr">
        <is>
          <t>open-weight</t>
        </is>
      </c>
      <c r="S8" s="15" t="inlineStr">
        <is>
          <t>M</t>
        </is>
      </c>
      <c r="T8" s="13" t="inlineStr">
        <is>
          <t>FLUX 2 Dev Elo 1150 (open)</t>
        </is>
      </c>
      <c r="U8" s="13" t="inlineStr">
        <is>
          <t>2026-06-07</t>
        </is>
      </c>
    </row>
    <row r="9">
      <c r="A9" s="13" t="inlineStr">
        <is>
          <t>black-forest-labs/FLUX.1-schnell</t>
        </is>
      </c>
      <c r="B9" s="13" t="inlineStr">
        <is>
          <t>FLUX 2 Schnell</t>
        </is>
      </c>
      <c r="C9" s="13" t="inlineStr">
        <is>
          <t>Black Forest Labs</t>
        </is>
      </c>
      <c r="D9" s="13" t="inlineStr">
        <is>
          <t>Current</t>
        </is>
      </c>
      <c r="E9" s="13" t="inlineStr">
        <is>
          <t>Together AI</t>
        </is>
      </c>
      <c r="F9" s="13" t="inlineStr">
        <is>
          <t>Aggregator</t>
        </is>
      </c>
      <c r="G9" s="13" t="inlineStr">
        <is>
          <t>Not-keyed</t>
        </is>
      </c>
      <c r="H9" s="13" t="inlineStr">
        <is>
          <t>metered (not configured)</t>
        </is>
      </c>
      <c r="I9" s="13" t="inlineStr">
        <is>
          <t>No</t>
        </is>
      </c>
      <c r="J9" s="13" t="n">
        <v>7.8</v>
      </c>
      <c r="K9" s="13" t="n">
        <v>7</v>
      </c>
      <c r="L9" s="13" t="n">
        <v>8</v>
      </c>
      <c r="M9" s="13" t="n">
        <v>8</v>
      </c>
      <c r="N9" s="13" t="n">
        <v>9</v>
      </c>
      <c r="O9" s="13" t="n">
        <v>9.5</v>
      </c>
      <c r="P9" s="13">
        <f>IFERROR(ROUND(AVERAGE(J9:O9),1),"")</f>
        <v/>
      </c>
      <c r="Q9" s="13" t="inlineStr">
        <is>
          <t>1K</t>
        </is>
      </c>
      <c r="R9" s="13" t="inlineStr">
        <is>
          <t>open-weight</t>
        </is>
      </c>
      <c r="S9" s="15" t="inlineStr">
        <is>
          <t>M</t>
        </is>
      </c>
      <c r="T9" s="13" t="inlineStr">
        <is>
          <t>Fast open FLUX</t>
        </is>
      </c>
      <c r="U9" s="13" t="inlineStr">
        <is>
          <t>2026-06-07</t>
        </is>
      </c>
    </row>
    <row r="10">
      <c r="A10" s="13" t="inlineStr">
        <is>
          <t>black-forest-labs/FLUX.1-schnell</t>
        </is>
      </c>
      <c r="B10" s="13" t="inlineStr">
        <is>
          <t>FLUX 2 Schnell</t>
        </is>
      </c>
      <c r="C10" s="13" t="inlineStr">
        <is>
          <t>Black Forest Labs</t>
        </is>
      </c>
      <c r="D10" s="13" t="inlineStr">
        <is>
          <t>Current</t>
        </is>
      </c>
      <c r="E10" s="13" t="inlineStr">
        <is>
          <t>Fireworks AI</t>
        </is>
      </c>
      <c r="F10" s="13" t="inlineStr">
        <is>
          <t>Aggregator</t>
        </is>
      </c>
      <c r="G10" s="13" t="inlineStr">
        <is>
          <t>Not-keyed</t>
        </is>
      </c>
      <c r="H10" s="13" t="inlineStr">
        <is>
          <t>metered (not configured)</t>
        </is>
      </c>
      <c r="I10" s="13" t="inlineStr">
        <is>
          <t>No</t>
        </is>
      </c>
      <c r="J10" s="13" t="n">
        <v>7.8</v>
      </c>
      <c r="K10" s="13" t="n">
        <v>7</v>
      </c>
      <c r="L10" s="13" t="n">
        <v>8</v>
      </c>
      <c r="M10" s="13" t="n">
        <v>8</v>
      </c>
      <c r="N10" s="13" t="n">
        <v>9</v>
      </c>
      <c r="O10" s="13" t="n">
        <v>9.5</v>
      </c>
      <c r="P10" s="13">
        <f>IFERROR(ROUND(AVERAGE(J10:O10),1),"")</f>
        <v/>
      </c>
      <c r="Q10" s="13" t="inlineStr">
        <is>
          <t>1K</t>
        </is>
      </c>
      <c r="R10" s="13" t="inlineStr">
        <is>
          <t>open-weight</t>
        </is>
      </c>
      <c r="S10" s="15" t="inlineStr">
        <is>
          <t>M</t>
        </is>
      </c>
      <c r="T10" s="13" t="inlineStr">
        <is>
          <t>Fast open FLUX</t>
        </is>
      </c>
      <c r="U10" s="13" t="inlineStr">
        <is>
          <t>2026-06-07</t>
        </is>
      </c>
    </row>
    <row r="11">
      <c r="A11" s="13" t="inlineStr">
        <is>
          <t>stabilityai/stable-diffusion-3-5-large</t>
        </is>
      </c>
      <c r="B11" s="13" t="inlineStr">
        <is>
          <t>Stable Diffusion 3.5 Large</t>
        </is>
      </c>
      <c r="C11" s="13" t="inlineStr">
        <is>
          <t>Stability AI</t>
        </is>
      </c>
      <c r="D11" s="13" t="inlineStr">
        <is>
          <t>Current</t>
        </is>
      </c>
      <c r="E11" s="13" t="inlineStr">
        <is>
          <t>Together AI</t>
        </is>
      </c>
      <c r="F11" s="13" t="inlineStr">
        <is>
          <t>Aggregator</t>
        </is>
      </c>
      <c r="G11" s="13" t="inlineStr">
        <is>
          <t>Not-keyed</t>
        </is>
      </c>
      <c r="H11" s="13" t="inlineStr">
        <is>
          <t>metered (not configured)</t>
        </is>
      </c>
      <c r="I11" s="13" t="inlineStr">
        <is>
          <t>No</t>
        </is>
      </c>
      <c r="J11" s="13" t="n">
        <v>7.6</v>
      </c>
      <c r="K11" s="13" t="n">
        <v>6.8</v>
      </c>
      <c r="L11" s="13" t="n">
        <v>8</v>
      </c>
      <c r="M11" s="13" t="n">
        <v>8.6</v>
      </c>
      <c r="N11" s="13" t="n">
        <v>7</v>
      </c>
      <c r="O11" s="13" t="n">
        <v>8.5</v>
      </c>
      <c r="P11" s="13">
        <f>IFERROR(ROUND(AVERAGE(J11:O11),1),"")</f>
        <v/>
      </c>
      <c r="Q11" s="13" t="inlineStr">
        <is>
          <t>1K</t>
        </is>
      </c>
      <c r="R11" s="13" t="inlineStr">
        <is>
          <t>open-weight</t>
        </is>
      </c>
      <c r="S11" s="16" t="inlineStr">
        <is>
          <t>L</t>
        </is>
      </c>
      <c r="T11" s="13" t="inlineStr">
        <is>
          <t>SD3.5L (open)</t>
        </is>
      </c>
      <c r="U11" s="13" t="inlineStr">
        <is>
          <t>2026-06-07</t>
        </is>
      </c>
    </row>
    <row r="12">
      <c r="A12" s="13" t="inlineStr">
        <is>
          <t>stabilityai/stable-diffusion-3-5-large</t>
        </is>
      </c>
      <c r="B12" s="13" t="inlineStr">
        <is>
          <t>Stable Diffusion 3.5 Large</t>
        </is>
      </c>
      <c r="C12" s="13" t="inlineStr">
        <is>
          <t>Stability AI</t>
        </is>
      </c>
      <c r="D12" s="13" t="inlineStr">
        <is>
          <t>Current</t>
        </is>
      </c>
      <c r="E12" s="13" t="inlineStr">
        <is>
          <t>Amazon Bedrock (Kiro)</t>
        </is>
      </c>
      <c r="F12" s="13" t="inlineStr">
        <is>
          <t>Aggregator</t>
        </is>
      </c>
      <c r="G12" s="13" t="inlineStr">
        <is>
          <t>Installed; login unverified</t>
        </is>
      </c>
      <c r="H12" s="13" t="inlineStr">
        <is>
          <t>metered (not configured)</t>
        </is>
      </c>
      <c r="I12" s="13" t="inlineStr">
        <is>
          <t>No</t>
        </is>
      </c>
      <c r="J12" s="13" t="n">
        <v>7.6</v>
      </c>
      <c r="K12" s="13" t="n">
        <v>6.8</v>
      </c>
      <c r="L12" s="13" t="n">
        <v>8</v>
      </c>
      <c r="M12" s="13" t="n">
        <v>8.6</v>
      </c>
      <c r="N12" s="13" t="n">
        <v>7</v>
      </c>
      <c r="O12" s="13" t="n">
        <v>8.5</v>
      </c>
      <c r="P12" s="13">
        <f>IFERROR(ROUND(AVERAGE(J12:O12),1),"")</f>
        <v/>
      </c>
      <c r="Q12" s="13" t="inlineStr">
        <is>
          <t>1K</t>
        </is>
      </c>
      <c r="R12" s="13" t="inlineStr">
        <is>
          <t>open-weight</t>
        </is>
      </c>
      <c r="S12" s="16" t="inlineStr">
        <is>
          <t>L</t>
        </is>
      </c>
      <c r="T12" s="13" t="inlineStr">
        <is>
          <t>SD3.5L (open)</t>
        </is>
      </c>
      <c r="U12" s="13" t="inlineStr">
        <is>
          <t>2026-06-07</t>
        </is>
      </c>
    </row>
    <row r="13">
      <c r="A13" s="13" t="inlineStr">
        <is>
          <t>ideogram-ai/ideogram-v2</t>
        </is>
      </c>
      <c r="B13" s="13" t="inlineStr">
        <is>
          <t>Ideogram V2</t>
        </is>
      </c>
      <c r="C13" s="13" t="inlineStr">
        <is>
          <t>Ideogram</t>
        </is>
      </c>
      <c r="D13" s="13" t="inlineStr">
        <is>
          <t>Current</t>
        </is>
      </c>
      <c r="E13" s="13" t="inlineStr">
        <is>
          <t>Together AI</t>
        </is>
      </c>
      <c r="F13" s="13" t="inlineStr">
        <is>
          <t>Aggregator</t>
        </is>
      </c>
      <c r="G13" s="13" t="inlineStr">
        <is>
          <t>Not-keyed</t>
        </is>
      </c>
      <c r="H13" s="13" t="inlineStr">
        <is>
          <t>metered (not configured)</t>
        </is>
      </c>
      <c r="I13" s="13" t="inlineStr">
        <is>
          <t>No</t>
        </is>
      </c>
      <c r="J13" s="13" t="n">
        <v>8.199999999999999</v>
      </c>
      <c r="K13" s="13" t="n">
        <v>9.199999999999999</v>
      </c>
      <c r="L13" s="13" t="n">
        <v>7.8</v>
      </c>
      <c r="M13" s="13" t="n">
        <v>8</v>
      </c>
      <c r="N13" s="13" t="n">
        <v>7</v>
      </c>
      <c r="O13" s="13" t="n">
        <v>7.5</v>
      </c>
      <c r="P13" s="13">
        <f>IFERROR(ROUND(AVERAGE(J13:O13),1),"")</f>
        <v/>
      </c>
      <c r="Q13" s="13" t="inlineStr">
        <is>
          <t>1K</t>
        </is>
      </c>
      <c r="R13" s="13" t="inlineStr"/>
      <c r="S13" s="16" t="inlineStr">
        <is>
          <t>L</t>
        </is>
      </c>
      <c r="T13" s="13" t="inlineStr">
        <is>
          <t>Best-in-class text rendering</t>
        </is>
      </c>
      <c r="U13" s="13" t="inlineStr">
        <is>
          <t>2026-06-07</t>
        </is>
      </c>
    </row>
    <row r="14">
      <c r="A14" s="13" t="inlineStr">
        <is>
          <t>grok-imagine-image</t>
        </is>
      </c>
      <c r="B14" s="13" t="inlineStr">
        <is>
          <t>Grok Imagine</t>
        </is>
      </c>
      <c r="C14" s="13" t="inlineStr">
        <is>
          <t>xAI</t>
        </is>
      </c>
      <c r="D14" s="13" t="inlineStr">
        <is>
          <t>Current</t>
        </is>
      </c>
      <c r="E14" s="13" t="inlineStr">
        <is>
          <t>xAI API</t>
        </is>
      </c>
      <c r="F14" s="13" t="inlineStr">
        <is>
          <t>HTTP API</t>
        </is>
      </c>
      <c r="G14" s="13" t="inlineStr">
        <is>
          <t>Not-keyed</t>
        </is>
      </c>
      <c r="H14" s="13" t="inlineStr">
        <is>
          <t>metered (not configured)</t>
        </is>
      </c>
      <c r="I14" s="13" t="inlineStr">
        <is>
          <t>No</t>
        </is>
      </c>
      <c r="J14" s="13" t="n">
        <v>7.8</v>
      </c>
      <c r="K14" s="13" t="n">
        <v>7.2</v>
      </c>
      <c r="L14" s="13" t="n">
        <v>8</v>
      </c>
      <c r="M14" s="13" t="n">
        <v>7.8</v>
      </c>
      <c r="N14" s="13" t="n">
        <v>7.5</v>
      </c>
      <c r="O14" s="13" t="n">
        <v>6</v>
      </c>
      <c r="P14" s="13">
        <f>IFERROR(ROUND(AVERAGE(J14:O14),1),"")</f>
        <v/>
      </c>
      <c r="Q14" s="13" t="inlineStr">
        <is>
          <t>1K</t>
        </is>
      </c>
      <c r="R14" s="13" t="inlineStr"/>
      <c r="S14" s="16" t="inlineStr">
        <is>
          <t>L</t>
        </is>
      </c>
      <c r="T14" s="13" t="inlineStr">
        <is>
          <t>xAI image gen</t>
        </is>
      </c>
      <c r="U14" s="13" t="inlineStr">
        <is>
          <t>2026-06-07</t>
        </is>
      </c>
    </row>
    <row r="15">
      <c r="A15" s="13" t="inlineStr">
        <is>
          <t>mai-image-2.5</t>
        </is>
      </c>
      <c r="B15" s="13" t="inlineStr">
        <is>
          <t>MAI-Image-2.5</t>
        </is>
      </c>
      <c r="C15" s="13" t="inlineStr">
        <is>
          <t>Microsoft</t>
        </is>
      </c>
      <c r="D15" s="13" t="inlineStr">
        <is>
          <t>Current (new 2026-06-02)</t>
        </is>
      </c>
      <c r="E15" s="13" t="inlineStr">
        <is>
          <t>Azure AI Foundry</t>
        </is>
      </c>
      <c r="F15" s="13" t="inlineStr">
        <is>
          <t>Aggregator</t>
        </is>
      </c>
      <c r="G15" s="13" t="inlineStr">
        <is>
          <t>Not credentialed</t>
        </is>
      </c>
      <c r="H15" s="13" t="inlineStr">
        <is>
          <t>metered (not configured)</t>
        </is>
      </c>
      <c r="I15" s="13" t="inlineStr">
        <is>
          <t>No</t>
        </is>
      </c>
      <c r="J15" s="13" t="n">
        <v>9</v>
      </c>
      <c r="K15" s="13" t="n">
        <v>8.800000000000001</v>
      </c>
      <c r="L15" s="13" t="n">
        <v>8.800000000000001</v>
      </c>
      <c r="M15" s="13" t="n">
        <v>8.6</v>
      </c>
      <c r="N15" s="13" t="n">
        <v>7</v>
      </c>
      <c r="O15" s="13" t="n">
        <v>7</v>
      </c>
      <c r="P15" s="13">
        <f>IFERROR(ROUND(AVERAGE(J15:O15),1),"")</f>
        <v/>
      </c>
      <c r="Q15" s="13" t="inlineStr">
        <is>
          <t>High res</t>
        </is>
      </c>
      <c r="R15" s="13" t="inlineStr"/>
      <c r="S15" s="15" t="inlineStr">
        <is>
          <t>M</t>
        </is>
      </c>
      <c r="T15" s="13" t="inlineStr">
        <is>
          <t>Surpasses Nano Banana Pro arena (Microsoft); family-inherited estimate (scaled from flagship); verify before HIGH-stakes routing</t>
        </is>
      </c>
      <c r="U15" s="13" t="inlineStr">
        <is>
          <t>2026-06-07</t>
        </is>
      </c>
    </row>
    <row r="16">
      <c r="A16" s="13" t="inlineStr">
        <is>
          <t>mai-image-2.5</t>
        </is>
      </c>
      <c r="B16" s="13" t="inlineStr">
        <is>
          <t>MAI-Image-2.5</t>
        </is>
      </c>
      <c r="C16" s="13" t="inlineStr">
        <is>
          <t>Microsoft</t>
        </is>
      </c>
      <c r="D16" s="13" t="inlineStr">
        <is>
          <t>Current (new 2026-06-02)</t>
        </is>
      </c>
      <c r="E16" s="13" t="inlineStr">
        <is>
          <t>GitHub Copilot CLI</t>
        </is>
      </c>
      <c r="F16" s="13" t="inlineStr">
        <is>
          <t>CLI</t>
        </is>
      </c>
      <c r="G16" s="13" t="inlineStr">
        <is>
          <t>Working (premium req)</t>
        </is>
      </c>
      <c r="H16" s="13" t="inlineStr">
        <is>
          <t>subscription_included</t>
        </is>
      </c>
      <c r="I16" s="13" t="inlineStr">
        <is>
          <t>No</t>
        </is>
      </c>
      <c r="J16" s="13" t="n">
        <v>9</v>
      </c>
      <c r="K16" s="13" t="n">
        <v>8.800000000000001</v>
      </c>
      <c r="L16" s="13" t="n">
        <v>8.800000000000001</v>
      </c>
      <c r="M16" s="13" t="n">
        <v>8.6</v>
      </c>
      <c r="N16" s="13" t="n">
        <v>7</v>
      </c>
      <c r="O16" s="13" t="n">
        <v>7</v>
      </c>
      <c r="P16" s="13">
        <f>IFERROR(ROUND(AVERAGE(J16:O16),1),"")</f>
        <v/>
      </c>
      <c r="Q16" s="13" t="inlineStr">
        <is>
          <t>High res</t>
        </is>
      </c>
      <c r="R16" s="13" t="inlineStr"/>
      <c r="S16" s="15" t="inlineStr">
        <is>
          <t>M</t>
        </is>
      </c>
      <c r="T16" s="13" t="inlineStr">
        <is>
          <t>Surpasses Nano Banana Pro arena (Microsoft); family-inherited estimate (scaled from flagship); verify before HIGH-stakes routing</t>
        </is>
      </c>
      <c r="U16" s="13" t="inlineStr">
        <is>
          <t>2026-06-07</t>
        </is>
      </c>
    </row>
    <row r="17">
      <c r="A17" s="13" t="inlineStr">
        <is>
          <t>mai-image-2.5-flash</t>
        </is>
      </c>
      <c r="B17" s="13" t="inlineStr">
        <is>
          <t>MAI-Image-2.5 Flash</t>
        </is>
      </c>
      <c r="C17" s="13" t="inlineStr">
        <is>
          <t>Microsoft</t>
        </is>
      </c>
      <c r="D17" s="13" t="inlineStr">
        <is>
          <t>Current (new 2026-06-02)</t>
        </is>
      </c>
      <c r="E17" s="13" t="inlineStr">
        <is>
          <t>Azure AI Foundry</t>
        </is>
      </c>
      <c r="F17" s="13" t="inlineStr">
        <is>
          <t>Aggregator</t>
        </is>
      </c>
      <c r="G17" s="13" t="inlineStr">
        <is>
          <t>Not credentialed</t>
        </is>
      </c>
      <c r="H17" s="13" t="inlineStr">
        <is>
          <t>metered (not configured)</t>
        </is>
      </c>
      <c r="I17" s="13" t="inlineStr">
        <is>
          <t>No</t>
        </is>
      </c>
      <c r="J17" s="13" t="n">
        <v>8.6</v>
      </c>
      <c r="K17" s="13" t="n">
        <v>8.4</v>
      </c>
      <c r="L17" s="13" t="n">
        <v>8.4</v>
      </c>
      <c r="M17" s="13" t="n">
        <v>8.4</v>
      </c>
      <c r="N17" s="13" t="n">
        <v>9.199999999999999</v>
      </c>
      <c r="O17" s="13" t="n">
        <v>9</v>
      </c>
      <c r="P17" s="13">
        <f>IFERROR(ROUND(AVERAGE(J17:O17),1),"")</f>
        <v/>
      </c>
      <c r="Q17" s="13" t="inlineStr">
        <is>
          <t>High res</t>
        </is>
      </c>
      <c r="R17" s="13" t="inlineStr">
        <is>
          <t>ultra-efficient</t>
        </is>
      </c>
      <c r="S17" s="15" t="inlineStr">
        <is>
          <t>M</t>
        </is>
      </c>
      <c r="T17" s="13" t="inlineStr">
        <is>
          <t>Fast MAI image variant; family-inherited estimate (scaled from flagship); verify before HIGH-stakes routing</t>
        </is>
      </c>
      <c r="U17" s="13" t="inlineStr">
        <is>
          <t>2026-06-07</t>
        </is>
      </c>
    </row>
    <row r="18">
      <c r="A18" s="13" t="inlineStr">
        <is>
          <t>mai-image-2.5-flash</t>
        </is>
      </c>
      <c r="B18" s="13" t="inlineStr">
        <is>
          <t>MAI-Image-2.5 Flash</t>
        </is>
      </c>
      <c r="C18" s="13" t="inlineStr">
        <is>
          <t>Microsoft</t>
        </is>
      </c>
      <c r="D18" s="13" t="inlineStr">
        <is>
          <t>Current (new 2026-06-02)</t>
        </is>
      </c>
      <c r="E18" s="13" t="inlineStr">
        <is>
          <t>GitHub Copilot CLI</t>
        </is>
      </c>
      <c r="F18" s="13" t="inlineStr">
        <is>
          <t>CLI</t>
        </is>
      </c>
      <c r="G18" s="13" t="inlineStr">
        <is>
          <t>Working (premium req)</t>
        </is>
      </c>
      <c r="H18" s="13" t="inlineStr">
        <is>
          <t>subscription_included</t>
        </is>
      </c>
      <c r="I18" s="13" t="inlineStr">
        <is>
          <t>No</t>
        </is>
      </c>
      <c r="J18" s="13" t="n">
        <v>8.6</v>
      </c>
      <c r="K18" s="13" t="n">
        <v>8.4</v>
      </c>
      <c r="L18" s="13" t="n">
        <v>8.4</v>
      </c>
      <c r="M18" s="13" t="n">
        <v>8.4</v>
      </c>
      <c r="N18" s="13" t="n">
        <v>9.199999999999999</v>
      </c>
      <c r="O18" s="13" t="n">
        <v>9</v>
      </c>
      <c r="P18" s="13">
        <f>IFERROR(ROUND(AVERAGE(J18:O18),1),"")</f>
        <v/>
      </c>
      <c r="Q18" s="13" t="inlineStr">
        <is>
          <t>High res</t>
        </is>
      </c>
      <c r="R18" s="13" t="inlineStr">
        <is>
          <t>ultra-efficient</t>
        </is>
      </c>
      <c r="S18" s="15" t="inlineStr">
        <is>
          <t>M</t>
        </is>
      </c>
      <c r="T18" s="13" t="inlineStr">
        <is>
          <t>Fast MAI image variant; family-inherited estimate (scaled from flagship); verify before HIGH-stakes routing</t>
        </is>
      </c>
      <c r="U18" s="13" t="inlineStr">
        <is>
          <t>2026-06-07</t>
        </is>
      </c>
    </row>
    <row r="19">
      <c r="A19" s="13" t="inlineStr">
        <is>
          <t>gpt-image-2</t>
        </is>
      </c>
      <c r="B19" s="13" t="inlineStr">
        <is>
          <t>GPT Image 2 (ChatGPT Images 2.0)</t>
        </is>
      </c>
      <c r="C19" s="13" t="inlineStr">
        <is>
          <t>OpenAI</t>
        </is>
      </c>
      <c r="D19" s="13" t="inlineStr">
        <is>
          <t>Current (new 2026)</t>
        </is>
      </c>
      <c r="E19" s="13" t="inlineStr">
        <is>
          <t>OpenAI API</t>
        </is>
      </c>
      <c r="F19" s="13" t="inlineStr">
        <is>
          <t>HTTP API</t>
        </is>
      </c>
      <c r="G19" s="13" t="inlineStr">
        <is>
          <t>No standalone key</t>
        </is>
      </c>
      <c r="H19" s="13" t="inlineStr">
        <is>
          <t>metered (not configured)</t>
        </is>
      </c>
      <c r="I19" s="13" t="inlineStr">
        <is>
          <t>No</t>
        </is>
      </c>
      <c r="J19" s="13" t="n">
        <v>9.4</v>
      </c>
      <c r="K19" s="13" t="n">
        <v>9.4</v>
      </c>
      <c r="L19" s="13" t="n">
        <v>8.800000000000001</v>
      </c>
      <c r="M19" s="13" t="n">
        <v>8.800000000000001</v>
      </c>
      <c r="N19" s="13" t="n">
        <v>6.5</v>
      </c>
      <c r="O19" s="13" t="n">
        <v>5.5</v>
      </c>
      <c r="P19" s="13">
        <f>IFERROR(ROUND(AVERAGE(J19:O19),1),"")</f>
        <v/>
      </c>
      <c r="Q19" s="13" t="inlineStr">
        <is>
          <t>High res</t>
        </is>
      </c>
      <c r="R19" s="13" t="inlineStr"/>
      <c r="S19" s="14" t="inlineStr">
        <is>
          <t>H</t>
        </is>
      </c>
      <c r="T19" s="13" t="inlineStr">
        <is>
          <t>Image Arena #1 debut (surpassed Nano Banana 2 / FLUX.2); provider-doc + arena</t>
        </is>
      </c>
      <c r="U19" s="13" t="inlineStr">
        <is>
          <t>2026-06-07</t>
        </is>
      </c>
    </row>
    <row r="20">
      <c r="A20" s="13" t="inlineStr">
        <is>
          <t>gemini-3-pro-image</t>
        </is>
      </c>
      <c r="B20" s="13" t="inlineStr">
        <is>
          <t>Nano Banana Pro (Gemini 3 Pro Image)</t>
        </is>
      </c>
      <c r="C20" s="13" t="inlineStr">
        <is>
          <t>Google</t>
        </is>
      </c>
      <c r="D20" s="13" t="inlineStr">
        <is>
          <t>Current (GA 2026-05-28)</t>
        </is>
      </c>
      <c r="E20" s="13" t="inlineStr">
        <is>
          <t>Google Gemini API</t>
        </is>
      </c>
      <c r="F20" s="13" t="inlineStr">
        <is>
          <t>HTTP API</t>
        </is>
      </c>
      <c r="G20" s="13" t="inlineStr">
        <is>
          <t>Working (re-authed)</t>
        </is>
      </c>
      <c r="H20" s="13" t="inlineStr">
        <is>
          <t>subscription_included</t>
        </is>
      </c>
      <c r="I20" s="13" t="inlineStr">
        <is>
          <t>No</t>
        </is>
      </c>
      <c r="J20" s="13" t="n">
        <v>9</v>
      </c>
      <c r="K20" s="13" t="n">
        <v>9.4</v>
      </c>
      <c r="L20" s="13" t="n">
        <v>8.800000000000001</v>
      </c>
      <c r="M20" s="13" t="n">
        <v>8.800000000000001</v>
      </c>
      <c r="N20" s="13" t="n">
        <v>6.5</v>
      </c>
      <c r="O20" s="13" t="n">
        <v>6.5</v>
      </c>
      <c r="P20" s="13">
        <f>IFERROR(ROUND(AVERAGE(J20:O20),1),"")</f>
        <v/>
      </c>
      <c r="Q20" s="13" t="inlineStr">
        <is>
          <t>High res</t>
        </is>
      </c>
      <c r="R20" s="13" t="inlineStr">
        <is>
          <t>typography-focused</t>
        </is>
      </c>
      <c r="S20" s="14" t="inlineStr">
        <is>
          <t>H</t>
        </is>
      </c>
      <c r="T20" s="13" t="inlineStr">
        <is>
          <t>GA 2026-05-28 (blog.google); high-quality complex typography</t>
        </is>
      </c>
      <c r="U20" s="13" t="inlineStr">
        <is>
          <t>2026-06-07</t>
        </is>
      </c>
    </row>
    <row r="21">
      <c r="A21" s="13" t="inlineStr">
        <is>
          <t>gemini-3-pro-image</t>
        </is>
      </c>
      <c r="B21" s="13" t="inlineStr">
        <is>
          <t>Nano Banana Pro (Gemini 3 Pro Image)</t>
        </is>
      </c>
      <c r="C21" s="13" t="inlineStr">
        <is>
          <t>Google</t>
        </is>
      </c>
      <c r="D21" s="13" t="inlineStr">
        <is>
          <t>Current (GA 2026-05-28)</t>
        </is>
      </c>
      <c r="E21" s="13" t="inlineStr">
        <is>
          <t>Together AI</t>
        </is>
      </c>
      <c r="F21" s="13" t="inlineStr">
        <is>
          <t>Aggregator</t>
        </is>
      </c>
      <c r="G21" s="13" t="inlineStr">
        <is>
          <t>Not-keyed</t>
        </is>
      </c>
      <c r="H21" s="13" t="inlineStr">
        <is>
          <t>metered (not configured)</t>
        </is>
      </c>
      <c r="I21" s="13" t="inlineStr">
        <is>
          <t>No</t>
        </is>
      </c>
      <c r="J21" s="13" t="n">
        <v>9</v>
      </c>
      <c r="K21" s="13" t="n">
        <v>9.4</v>
      </c>
      <c r="L21" s="13" t="n">
        <v>8.800000000000001</v>
      </c>
      <c r="M21" s="13" t="n">
        <v>8.800000000000001</v>
      </c>
      <c r="N21" s="13" t="n">
        <v>6.5</v>
      </c>
      <c r="O21" s="13" t="n">
        <v>6.5</v>
      </c>
      <c r="P21" s="13">
        <f>IFERROR(ROUND(AVERAGE(J21:O21),1),"")</f>
        <v/>
      </c>
      <c r="Q21" s="13" t="inlineStr">
        <is>
          <t>High res</t>
        </is>
      </c>
      <c r="R21" s="13" t="inlineStr">
        <is>
          <t>typography-focused</t>
        </is>
      </c>
      <c r="S21" s="14" t="inlineStr">
        <is>
          <t>H</t>
        </is>
      </c>
      <c r="T21" s="13" t="inlineStr">
        <is>
          <t>GA 2026-05-28 (blog.google); high-quality complex typography</t>
        </is>
      </c>
      <c r="U21" s="13" t="inlineStr">
        <is>
          <t>2026-06-07</t>
        </is>
      </c>
    </row>
    <row r="22">
      <c r="A22" s="13" t="inlineStr">
        <is>
          <t>gemini-3.1-flash-image</t>
        </is>
      </c>
      <c r="B22" s="13" t="inlineStr">
        <is>
          <t>Nano Banana 2 (Gemini 3.1 Flash Image)</t>
        </is>
      </c>
      <c r="C22" s="13" t="inlineStr">
        <is>
          <t>Google</t>
        </is>
      </c>
      <c r="D22" s="13" t="inlineStr">
        <is>
          <t>Current (GA 2026-05-28)</t>
        </is>
      </c>
      <c r="E22" s="13" t="inlineStr">
        <is>
          <t>Google Gemini API</t>
        </is>
      </c>
      <c r="F22" s="13" t="inlineStr">
        <is>
          <t>HTTP API</t>
        </is>
      </c>
      <c r="G22" s="13" t="inlineStr">
        <is>
          <t>Working (re-authed)</t>
        </is>
      </c>
      <c r="H22" s="13" t="inlineStr">
        <is>
          <t>subscription_included</t>
        </is>
      </c>
      <c r="I22" s="13" t="inlineStr">
        <is>
          <t>No</t>
        </is>
      </c>
      <c r="J22" s="13" t="n">
        <v>9.199999999999999</v>
      </c>
      <c r="K22" s="13" t="n">
        <v>8.800000000000001</v>
      </c>
      <c r="L22" s="13" t="n">
        <v>8.6</v>
      </c>
      <c r="M22" s="13" t="n">
        <v>8.4</v>
      </c>
      <c r="N22" s="13" t="n">
        <v>9</v>
      </c>
      <c r="O22" s="13" t="n">
        <v>8.5</v>
      </c>
      <c r="P22" s="13">
        <f>IFERROR(ROUND(AVERAGE(J22:O22),1),"")</f>
        <v/>
      </c>
      <c r="Q22" s="13" t="inlineStr">
        <is>
          <t>High res</t>
        </is>
      </c>
      <c r="R22" s="13" t="inlineStr">
        <is>
          <t>fast/throughput</t>
        </is>
      </c>
      <c r="S22" s="14" t="inlineStr">
        <is>
          <t>H</t>
        </is>
      </c>
      <c r="T22" s="13" t="inlineStr">
        <is>
          <t>GA 2026-05-28; Arena Elo ~1266 (top); video-to-image context</t>
        </is>
      </c>
      <c r="U22" s="13" t="inlineStr">
        <is>
          <t>2026-06-07</t>
        </is>
      </c>
    </row>
    <row r="23">
      <c r="A23" s="13" t="inlineStr">
        <is>
          <t>gemini-3.1-flash-image</t>
        </is>
      </c>
      <c r="B23" s="13" t="inlineStr">
        <is>
          <t>Nano Banana 2 (Gemini 3.1 Flash Image)</t>
        </is>
      </c>
      <c r="C23" s="13" t="inlineStr">
        <is>
          <t>Google</t>
        </is>
      </c>
      <c r="D23" s="13" t="inlineStr">
        <is>
          <t>Current (GA 2026-05-28)</t>
        </is>
      </c>
      <c r="E23" s="13" t="inlineStr">
        <is>
          <t>Together AI</t>
        </is>
      </c>
      <c r="F23" s="13" t="inlineStr">
        <is>
          <t>Aggregator</t>
        </is>
      </c>
      <c r="G23" s="13" t="inlineStr">
        <is>
          <t>Not-keyed</t>
        </is>
      </c>
      <c r="H23" s="13" t="inlineStr">
        <is>
          <t>metered (not configured)</t>
        </is>
      </c>
      <c r="I23" s="13" t="inlineStr">
        <is>
          <t>No</t>
        </is>
      </c>
      <c r="J23" s="13" t="n">
        <v>9.199999999999999</v>
      </c>
      <c r="K23" s="13" t="n">
        <v>8.800000000000001</v>
      </c>
      <c r="L23" s="13" t="n">
        <v>8.6</v>
      </c>
      <c r="M23" s="13" t="n">
        <v>8.4</v>
      </c>
      <c r="N23" s="13" t="n">
        <v>9</v>
      </c>
      <c r="O23" s="13" t="n">
        <v>8.5</v>
      </c>
      <c r="P23" s="13">
        <f>IFERROR(ROUND(AVERAGE(J23:O23),1),"")</f>
        <v/>
      </c>
      <c r="Q23" s="13" t="inlineStr">
        <is>
          <t>High res</t>
        </is>
      </c>
      <c r="R23" s="13" t="inlineStr">
        <is>
          <t>fast/throughput</t>
        </is>
      </c>
      <c r="S23" s="14" t="inlineStr">
        <is>
          <t>H</t>
        </is>
      </c>
      <c r="T23" s="13" t="inlineStr">
        <is>
          <t>GA 2026-05-28; Arena Elo ~1266 (top); video-to-image context</t>
        </is>
      </c>
      <c r="U23" s="13" t="inlineStr">
        <is>
          <t>2026-06-07</t>
        </is>
      </c>
    </row>
  </sheetData>
  <mergeCells count="1">
    <mergeCell ref="J1:O1"/>
  </mergeCells>
  <conditionalFormatting sqref="J3:J23">
    <cfRule type="colorScale" priority="1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K3:K23">
    <cfRule type="colorScale" priority="2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L3:L23">
    <cfRule type="colorScale" priority="3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M3:M23">
    <cfRule type="colorScale" priority="4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N3:N23">
    <cfRule type="colorScale" priority="5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O3:O23">
    <cfRule type="colorScale" priority="6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P3:P23">
    <cfRule type="colorScale" priority="7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6" customWidth="1" min="2" max="2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40" customWidth="1" min="20" max="20"/>
  </cols>
  <sheetData>
    <row r="1">
      <c r="J1" s="17" t="inlineStr">
        <is>
          <t>Quality Stats (0-10)</t>
        </is>
      </c>
    </row>
    <row r="2" ht="42" customHeight="1">
      <c r="A2" s="12" t="inlineStr">
        <is>
          <t>Model ID</t>
        </is>
      </c>
      <c r="B2" s="12" t="inlineStr">
        <is>
          <t>Model Name</t>
        </is>
      </c>
      <c r="C2" s="12" t="inlineStr">
        <is>
          <t>Provider</t>
        </is>
      </c>
      <c r="D2" s="12" t="inlineStr">
        <is>
          <t>Status</t>
        </is>
      </c>
      <c r="E2" s="12" t="inlineStr">
        <is>
          <t>Routing Surface</t>
        </is>
      </c>
      <c r="F2" s="12" t="inlineStr">
        <is>
          <t>Surface Type</t>
        </is>
      </c>
      <c r="G2" s="12" t="inlineStr">
        <is>
          <t>Auth on Dell</t>
        </is>
      </c>
      <c r="H2" s="12" t="inlineStr">
        <is>
          <t>Billing Class</t>
        </is>
      </c>
      <c r="I2" s="12" t="inlineStr">
        <is>
          <t>Runs Local</t>
        </is>
      </c>
      <c r="J2" s="12" t="inlineStr">
        <is>
          <t>Motion Coherence</t>
        </is>
      </c>
      <c r="K2" s="12" t="inlineStr">
        <is>
          <t>Prompt Adherence</t>
        </is>
      </c>
      <c r="L2" s="12" t="inlineStr">
        <is>
          <t>Audio Sync</t>
        </is>
      </c>
      <c r="M2" s="12" t="inlineStr">
        <is>
          <t>Realism</t>
        </is>
      </c>
      <c r="N2" s="12" t="inlineStr">
        <is>
          <t>Duration</t>
        </is>
      </c>
      <c r="O2" s="12" t="inlineStr">
        <is>
          <t>Cost-Efficiency</t>
        </is>
      </c>
      <c r="P2" s="12" t="inlineStr">
        <is>
          <t>OVERALL ★</t>
        </is>
      </c>
      <c r="Q2" s="12" t="inlineStr">
        <is>
          <t>Max Duration</t>
        </is>
      </c>
      <c r="R2" s="12" t="inlineStr">
        <is>
          <t>Audio</t>
        </is>
      </c>
      <c r="S2" s="12" t="inlineStr">
        <is>
          <t>Confidence</t>
        </is>
      </c>
      <c r="T2" s="12" t="inlineStr">
        <is>
          <t>Sources</t>
        </is>
      </c>
      <c r="U2" s="12" t="inlineStr">
        <is>
          <t>Last Verified</t>
        </is>
      </c>
    </row>
    <row r="3">
      <c r="A3" s="13" t="inlineStr">
        <is>
          <t>sora-2-pro</t>
        </is>
      </c>
      <c r="B3" s="13" t="inlineStr">
        <is>
          <t>Sora 2 Pro</t>
        </is>
      </c>
      <c r="C3" s="13" t="inlineStr">
        <is>
          <t>OpenAI</t>
        </is>
      </c>
      <c r="D3" s="13" t="inlineStr">
        <is>
          <t>Current</t>
        </is>
      </c>
      <c r="E3" s="13" t="inlineStr">
        <is>
          <t>OpenAI API</t>
        </is>
      </c>
      <c r="F3" s="13" t="inlineStr">
        <is>
          <t>HTTP API</t>
        </is>
      </c>
      <c r="G3" s="13" t="inlineStr">
        <is>
          <t>No standalone key</t>
        </is>
      </c>
      <c r="H3" s="13" t="inlineStr">
        <is>
          <t>metered (not configured)</t>
        </is>
      </c>
      <c r="I3" s="13" t="inlineStr">
        <is>
          <t>No</t>
        </is>
      </c>
      <c r="J3" s="13" t="n">
        <v>9</v>
      </c>
      <c r="K3" s="13" t="n">
        <v>8.800000000000001</v>
      </c>
      <c r="L3" s="13" t="n">
        <v>9</v>
      </c>
      <c r="M3" s="13" t="n">
        <v>8.800000000000001</v>
      </c>
      <c r="N3" s="13" t="n">
        <v>7.5</v>
      </c>
      <c r="O3" s="13" t="n">
        <v>4.5</v>
      </c>
      <c r="P3" s="13">
        <f>IFERROR(ROUND(AVERAGE(J3:O3),1),"")</f>
        <v/>
      </c>
      <c r="Q3" s="13" t="inlineStr">
        <is>
          <t>~60s</t>
        </is>
      </c>
      <c r="R3" s="13" t="inlineStr">
        <is>
          <t>synced audio</t>
        </is>
      </c>
      <c r="S3" s="15" t="inlineStr">
        <is>
          <t>M</t>
        </is>
      </c>
      <c r="T3" s="13" t="inlineStr">
        <is>
          <t>Most advanced synced-audio video</t>
        </is>
      </c>
      <c r="U3" s="13" t="inlineStr">
        <is>
          <t>2026-06-07</t>
        </is>
      </c>
    </row>
    <row r="4">
      <c r="A4" s="13" t="inlineStr">
        <is>
          <t>sora-2</t>
        </is>
      </c>
      <c r="B4" s="13" t="inlineStr">
        <is>
          <t>Sora 2</t>
        </is>
      </c>
      <c r="C4" s="13" t="inlineStr">
        <is>
          <t>OpenAI</t>
        </is>
      </c>
      <c r="D4" s="13" t="inlineStr">
        <is>
          <t>Current</t>
        </is>
      </c>
      <c r="E4" s="13" t="inlineStr">
        <is>
          <t>OpenAI API</t>
        </is>
      </c>
      <c r="F4" s="13" t="inlineStr">
        <is>
          <t>HTTP API</t>
        </is>
      </c>
      <c r="G4" s="13" t="inlineStr">
        <is>
          <t>No standalone key</t>
        </is>
      </c>
      <c r="H4" s="13" t="inlineStr">
        <is>
          <t>metered (not configured)</t>
        </is>
      </c>
      <c r="I4" s="13" t="inlineStr">
        <is>
          <t>No</t>
        </is>
      </c>
      <c r="J4" s="13" t="n">
        <v>8.6</v>
      </c>
      <c r="K4" s="13" t="n">
        <v>8.4</v>
      </c>
      <c r="L4" s="13" t="n">
        <v>8.6</v>
      </c>
      <c r="M4" s="13" t="n">
        <v>8.4</v>
      </c>
      <c r="N4" s="13" t="n">
        <v>7</v>
      </c>
      <c r="O4" s="13" t="n">
        <v>5.5</v>
      </c>
      <c r="P4" s="13">
        <f>IFERROR(ROUND(AVERAGE(J4:O4),1),"")</f>
        <v/>
      </c>
      <c r="Q4" s="13" t="inlineStr">
        <is>
          <t>~30s</t>
        </is>
      </c>
      <c r="R4" s="13" t="inlineStr">
        <is>
          <t>synced audio</t>
        </is>
      </c>
      <c r="S4" s="15" t="inlineStr">
        <is>
          <t>M</t>
        </is>
      </c>
      <c r="T4" s="13" t="inlineStr">
        <is>
          <t>Flagship video+audio</t>
        </is>
      </c>
      <c r="U4" s="13" t="inlineStr">
        <is>
          <t>2026-06-07</t>
        </is>
      </c>
    </row>
    <row r="5">
      <c r="A5" s="13" t="inlineStr">
        <is>
          <t>veo-3.0</t>
        </is>
      </c>
      <c r="B5" s="13" t="inlineStr">
        <is>
          <t>Google Veo 3.0</t>
        </is>
      </c>
      <c r="C5" s="13" t="inlineStr">
        <is>
          <t>Google</t>
        </is>
      </c>
      <c r="D5" s="13" t="inlineStr">
        <is>
          <t>Legacy (prior)</t>
        </is>
      </c>
      <c r="E5" s="13" t="inlineStr">
        <is>
          <t>Together AI</t>
        </is>
      </c>
      <c r="F5" s="13" t="inlineStr">
        <is>
          <t>Aggregator</t>
        </is>
      </c>
      <c r="G5" s="13" t="inlineStr">
        <is>
          <t>Not-keyed</t>
        </is>
      </c>
      <c r="H5" s="13" t="inlineStr">
        <is>
          <t>metered (not configured)</t>
        </is>
      </c>
      <c r="I5" s="13" t="inlineStr">
        <is>
          <t>No</t>
        </is>
      </c>
      <c r="J5" s="13" t="n">
        <v>8.800000000000001</v>
      </c>
      <c r="K5" s="13" t="n">
        <v>8.6</v>
      </c>
      <c r="L5" s="13" t="n">
        <v>8.800000000000001</v>
      </c>
      <c r="M5" s="13" t="n">
        <v>8.800000000000001</v>
      </c>
      <c r="N5" s="13" t="n">
        <v>7</v>
      </c>
      <c r="O5" s="13" t="n">
        <v>6</v>
      </c>
      <c r="P5" s="13">
        <f>IFERROR(ROUND(AVERAGE(J5:O5),1),"")</f>
        <v/>
      </c>
      <c r="Q5" s="13" t="inlineStr">
        <is>
          <t>~30s</t>
        </is>
      </c>
      <c r="R5" s="13" t="inlineStr">
        <is>
          <t>synced audio</t>
        </is>
      </c>
      <c r="S5" s="15" t="inlineStr">
        <is>
          <t>M</t>
        </is>
      </c>
      <c r="T5" s="13" t="inlineStr">
        <is>
          <t>Veo 3 (Vertex/Together)</t>
        </is>
      </c>
      <c r="U5" s="13" t="inlineStr">
        <is>
          <t>2026-06-07</t>
        </is>
      </c>
    </row>
    <row r="6">
      <c r="A6" s="13" t="inlineStr">
        <is>
          <t>veo-3.0</t>
        </is>
      </c>
      <c r="B6" s="13" t="inlineStr">
        <is>
          <t>Google Veo 3.0</t>
        </is>
      </c>
      <c r="C6" s="13" t="inlineStr">
        <is>
          <t>Google</t>
        </is>
      </c>
      <c r="D6" s="13" t="inlineStr">
        <is>
          <t>Legacy (prior)</t>
        </is>
      </c>
      <c r="E6" s="13" t="inlineStr">
        <is>
          <t>Google Gemini API</t>
        </is>
      </c>
      <c r="F6" s="13" t="inlineStr">
        <is>
          <t>HTTP API</t>
        </is>
      </c>
      <c r="G6" s="13" t="inlineStr">
        <is>
          <t>Working (re-authed)</t>
        </is>
      </c>
      <c r="H6" s="13" t="inlineStr">
        <is>
          <t>subscription_included</t>
        </is>
      </c>
      <c r="I6" s="13" t="inlineStr">
        <is>
          <t>No</t>
        </is>
      </c>
      <c r="J6" s="13" t="n">
        <v>8.800000000000001</v>
      </c>
      <c r="K6" s="13" t="n">
        <v>8.6</v>
      </c>
      <c r="L6" s="13" t="n">
        <v>8.800000000000001</v>
      </c>
      <c r="M6" s="13" t="n">
        <v>8.800000000000001</v>
      </c>
      <c r="N6" s="13" t="n">
        <v>7</v>
      </c>
      <c r="O6" s="13" t="n">
        <v>6</v>
      </c>
      <c r="P6" s="13">
        <f>IFERROR(ROUND(AVERAGE(J6:O6),1),"")</f>
        <v/>
      </c>
      <c r="Q6" s="13" t="inlineStr">
        <is>
          <t>~30s</t>
        </is>
      </c>
      <c r="R6" s="13" t="inlineStr">
        <is>
          <t>synced audio</t>
        </is>
      </c>
      <c r="S6" s="15" t="inlineStr">
        <is>
          <t>M</t>
        </is>
      </c>
      <c r="T6" s="13" t="inlineStr">
        <is>
          <t>Veo 3 (Vertex/Together)</t>
        </is>
      </c>
      <c r="U6" s="13" t="inlineStr">
        <is>
          <t>2026-06-07</t>
        </is>
      </c>
    </row>
    <row r="7">
      <c r="A7" s="13" t="inlineStr">
        <is>
          <t>kling-2.1</t>
        </is>
      </c>
      <c r="B7" s="13" t="inlineStr">
        <is>
          <t>Kling 2.1</t>
        </is>
      </c>
      <c r="C7" s="13" t="inlineStr">
        <is>
          <t>Kuaishou</t>
        </is>
      </c>
      <c r="D7" s="13" t="inlineStr">
        <is>
          <t>Current</t>
        </is>
      </c>
      <c r="E7" s="13" t="inlineStr">
        <is>
          <t>Together AI</t>
        </is>
      </c>
      <c r="F7" s="13" t="inlineStr">
        <is>
          <t>Aggregator</t>
        </is>
      </c>
      <c r="G7" s="13" t="inlineStr">
        <is>
          <t>Not-keyed</t>
        </is>
      </c>
      <c r="H7" s="13" t="inlineStr">
        <is>
          <t>metered (not configured)</t>
        </is>
      </c>
      <c r="I7" s="13" t="inlineStr">
        <is>
          <t>No</t>
        </is>
      </c>
      <c r="J7" s="13" t="n">
        <v>8.4</v>
      </c>
      <c r="K7" s="13" t="n">
        <v>8</v>
      </c>
      <c r="L7" s="13" t="n">
        <v>7</v>
      </c>
      <c r="M7" s="13" t="n">
        <v>8.4</v>
      </c>
      <c r="N7" s="13" t="n">
        <v>7</v>
      </c>
      <c r="O7" s="13" t="n">
        <v>7</v>
      </c>
      <c r="P7" s="13">
        <f>IFERROR(ROUND(AVERAGE(J7:O7),1),"")</f>
        <v/>
      </c>
      <c r="Q7" s="13" t="inlineStr">
        <is>
          <t>~10s</t>
        </is>
      </c>
      <c r="R7" s="13" t="inlineStr"/>
      <c r="S7" s="16" t="inlineStr">
        <is>
          <t>L</t>
        </is>
      </c>
      <c r="T7" s="13" t="inlineStr">
        <is>
          <t>Strong motion realism</t>
        </is>
      </c>
      <c r="U7" s="13" t="inlineStr">
        <is>
          <t>2026-06-07</t>
        </is>
      </c>
    </row>
    <row r="8">
      <c r="A8" s="13" t="inlineStr">
        <is>
          <t>minimax/video-01</t>
        </is>
      </c>
      <c r="B8" s="13" t="inlineStr">
        <is>
          <t>MiniMax Hailuo</t>
        </is>
      </c>
      <c r="C8" s="13" t="inlineStr">
        <is>
          <t>MiniMax</t>
        </is>
      </c>
      <c r="D8" s="13" t="inlineStr">
        <is>
          <t>Current</t>
        </is>
      </c>
      <c r="E8" s="13" t="inlineStr">
        <is>
          <t>Together AI</t>
        </is>
      </c>
      <c r="F8" s="13" t="inlineStr">
        <is>
          <t>Aggregator</t>
        </is>
      </c>
      <c r="G8" s="13" t="inlineStr">
        <is>
          <t>Not-keyed</t>
        </is>
      </c>
      <c r="H8" s="13" t="inlineStr">
        <is>
          <t>metered (not configured)</t>
        </is>
      </c>
      <c r="I8" s="13" t="inlineStr">
        <is>
          <t>No</t>
        </is>
      </c>
      <c r="J8" s="13" t="n">
        <v>8</v>
      </c>
      <c r="K8" s="13" t="n">
        <v>7.8</v>
      </c>
      <c r="L8" s="13" t="n">
        <v>6.5</v>
      </c>
      <c r="M8" s="13" t="n">
        <v>8</v>
      </c>
      <c r="N8" s="13" t="n">
        <v>6</v>
      </c>
      <c r="O8" s="13" t="n">
        <v>7.5</v>
      </c>
      <c r="P8" s="13">
        <f>IFERROR(ROUND(AVERAGE(J8:O8),1),"")</f>
        <v/>
      </c>
      <c r="Q8" s="13" t="inlineStr">
        <is>
          <t>~6s</t>
        </is>
      </c>
      <c r="R8" s="13" t="inlineStr"/>
      <c r="S8" s="16" t="inlineStr">
        <is>
          <t>L</t>
        </is>
      </c>
      <c r="T8" s="13" t="inlineStr">
        <is>
          <t>Hailuo video</t>
        </is>
      </c>
      <c r="U8" s="13" t="inlineStr">
        <is>
          <t>2026-06-07</t>
        </is>
      </c>
    </row>
    <row r="9">
      <c r="A9" s="13" t="inlineStr">
        <is>
          <t>luma.ray-v2:0</t>
        </is>
      </c>
      <c r="B9" s="13" t="inlineStr">
        <is>
          <t>Luma Ray 2</t>
        </is>
      </c>
      <c r="C9" s="13" t="inlineStr">
        <is>
          <t>Luma AI</t>
        </is>
      </c>
      <c r="D9" s="13" t="inlineStr">
        <is>
          <t>Current</t>
        </is>
      </c>
      <c r="E9" s="13" t="inlineStr">
        <is>
          <t>Amazon Bedrock (Kiro)</t>
        </is>
      </c>
      <c r="F9" s="13" t="inlineStr">
        <is>
          <t>Aggregator</t>
        </is>
      </c>
      <c r="G9" s="13" t="inlineStr">
        <is>
          <t>Installed; login unverified</t>
        </is>
      </c>
      <c r="H9" s="13" t="inlineStr">
        <is>
          <t>metered (not configured)</t>
        </is>
      </c>
      <c r="I9" s="13" t="inlineStr">
        <is>
          <t>No</t>
        </is>
      </c>
      <c r="J9" s="13" t="n">
        <v>8</v>
      </c>
      <c r="K9" s="13" t="n">
        <v>7.8</v>
      </c>
      <c r="L9" s="13" t="n">
        <v>6</v>
      </c>
      <c r="M9" s="13" t="n">
        <v>8</v>
      </c>
      <c r="N9" s="13" t="n">
        <v>6</v>
      </c>
      <c r="O9" s="13" t="n">
        <v>7</v>
      </c>
      <c r="P9" s="13">
        <f>IFERROR(ROUND(AVERAGE(J9:O9),1),"")</f>
        <v/>
      </c>
      <c r="Q9" s="13" t="inlineStr">
        <is>
          <t>~9s</t>
        </is>
      </c>
      <c r="R9" s="13" t="inlineStr"/>
      <c r="S9" s="16" t="inlineStr">
        <is>
          <t>L</t>
        </is>
      </c>
      <c r="T9" s="13" t="inlineStr">
        <is>
          <t>Bedrock video gen</t>
        </is>
      </c>
      <c r="U9" s="13" t="inlineStr">
        <is>
          <t>2026-06-07</t>
        </is>
      </c>
    </row>
    <row r="10">
      <c r="A10" s="13" t="inlineStr">
        <is>
          <t>grok-imagine-video</t>
        </is>
      </c>
      <c r="B10" s="13" t="inlineStr">
        <is>
          <t>Grok Imagine Video</t>
        </is>
      </c>
      <c r="C10" s="13" t="inlineStr">
        <is>
          <t>xAI</t>
        </is>
      </c>
      <c r="D10" s="13" t="inlineStr">
        <is>
          <t>Current</t>
        </is>
      </c>
      <c r="E10" s="13" t="inlineStr">
        <is>
          <t>xAI API</t>
        </is>
      </c>
      <c r="F10" s="13" t="inlineStr">
        <is>
          <t>HTTP API</t>
        </is>
      </c>
      <c r="G10" s="13" t="inlineStr">
        <is>
          <t>Not-keyed</t>
        </is>
      </c>
      <c r="H10" s="13" t="inlineStr">
        <is>
          <t>metered (not configured)</t>
        </is>
      </c>
      <c r="I10" s="13" t="inlineStr">
        <is>
          <t>No</t>
        </is>
      </c>
      <c r="J10" s="13" t="n">
        <v>7.8</v>
      </c>
      <c r="K10" s="13" t="n">
        <v>7.4</v>
      </c>
      <c r="L10" s="13" t="n">
        <v>7.5</v>
      </c>
      <c r="M10" s="13" t="n">
        <v>7.6</v>
      </c>
      <c r="N10" s="13" t="n">
        <v>5</v>
      </c>
      <c r="O10" s="13" t="n">
        <v>6</v>
      </c>
      <c r="P10" s="13">
        <f>IFERROR(ROUND(AVERAGE(J10:O10),1),"")</f>
        <v/>
      </c>
      <c r="Q10" s="13" t="inlineStr">
        <is>
          <t>~6s</t>
        </is>
      </c>
      <c r="R10" s="13" t="inlineStr">
        <is>
          <t>synced audio</t>
        </is>
      </c>
      <c r="S10" s="16" t="inlineStr">
        <is>
          <t>L</t>
        </is>
      </c>
      <c r="T10" s="13" t="inlineStr">
        <is>
          <t>xAI video gen</t>
        </is>
      </c>
      <c r="U10" s="13" t="inlineStr">
        <is>
          <t>2026-06-07</t>
        </is>
      </c>
    </row>
    <row r="11">
      <c r="A11" s="13" t="inlineStr">
        <is>
          <t>veo-3.1</t>
        </is>
      </c>
      <c r="B11" s="13" t="inlineStr">
        <is>
          <t>Google Veo 3.1 (Lite Preview)</t>
        </is>
      </c>
      <c r="C11" s="13" t="inlineStr">
        <is>
          <t>Google</t>
        </is>
      </c>
      <c r="D11" s="13" t="inlineStr">
        <is>
          <t>Current (2026)</t>
        </is>
      </c>
      <c r="E11" s="13" t="inlineStr">
        <is>
          <t>Together AI</t>
        </is>
      </c>
      <c r="F11" s="13" t="inlineStr">
        <is>
          <t>Aggregator</t>
        </is>
      </c>
      <c r="G11" s="13" t="inlineStr">
        <is>
          <t>Not-keyed</t>
        </is>
      </c>
      <c r="H11" s="13" t="inlineStr">
        <is>
          <t>metered (not configured)</t>
        </is>
      </c>
      <c r="I11" s="13" t="inlineStr">
        <is>
          <t>No</t>
        </is>
      </c>
      <c r="J11" s="13" t="n">
        <v>8.6</v>
      </c>
      <c r="K11" s="13" t="n">
        <v>8.6</v>
      </c>
      <c r="L11" s="13" t="n">
        <v>8.6</v>
      </c>
      <c r="M11" s="13" t="n">
        <v>8.6</v>
      </c>
      <c r="N11" s="13" t="n">
        <v>7</v>
      </c>
      <c r="O11" s="13" t="n">
        <v>7.5</v>
      </c>
      <c r="P11" s="13">
        <f>IFERROR(ROUND(AVERAGE(J11:O11),1),"")</f>
        <v/>
      </c>
      <c r="Q11" s="13" t="inlineStr">
        <is>
          <t>~30s</t>
        </is>
      </c>
      <c r="R11" s="13" t="inlineStr">
        <is>
          <t>synced audio; cost-efficient</t>
        </is>
      </c>
      <c r="S11" s="15" t="inlineStr">
        <is>
          <t>M</t>
        </is>
      </c>
      <c r="T11" s="13" t="inlineStr">
        <is>
          <t>veo-3.1-lite-generate-preview (most cost-efficient video); provider-doc</t>
        </is>
      </c>
      <c r="U11" s="13" t="inlineStr">
        <is>
          <t>2026-06-07</t>
        </is>
      </c>
    </row>
    <row r="12">
      <c r="A12" s="13" t="inlineStr">
        <is>
          <t>veo-3.1</t>
        </is>
      </c>
      <c r="B12" s="13" t="inlineStr">
        <is>
          <t>Google Veo 3.1 (Lite Preview)</t>
        </is>
      </c>
      <c r="C12" s="13" t="inlineStr">
        <is>
          <t>Google</t>
        </is>
      </c>
      <c r="D12" s="13" t="inlineStr">
        <is>
          <t>Current (2026)</t>
        </is>
      </c>
      <c r="E12" s="13" t="inlineStr">
        <is>
          <t>Google Gemini API</t>
        </is>
      </c>
      <c r="F12" s="13" t="inlineStr">
        <is>
          <t>HTTP API</t>
        </is>
      </c>
      <c r="G12" s="13" t="inlineStr">
        <is>
          <t>Working (re-authed)</t>
        </is>
      </c>
      <c r="H12" s="13" t="inlineStr">
        <is>
          <t>subscription_included</t>
        </is>
      </c>
      <c r="I12" s="13" t="inlineStr">
        <is>
          <t>No</t>
        </is>
      </c>
      <c r="J12" s="13" t="n">
        <v>8.6</v>
      </c>
      <c r="K12" s="13" t="n">
        <v>8.6</v>
      </c>
      <c r="L12" s="13" t="n">
        <v>8.6</v>
      </c>
      <c r="M12" s="13" t="n">
        <v>8.6</v>
      </c>
      <c r="N12" s="13" t="n">
        <v>7</v>
      </c>
      <c r="O12" s="13" t="n">
        <v>7.5</v>
      </c>
      <c r="P12" s="13">
        <f>IFERROR(ROUND(AVERAGE(J12:O12),1),"")</f>
        <v/>
      </c>
      <c r="Q12" s="13" t="inlineStr">
        <is>
          <t>~30s</t>
        </is>
      </c>
      <c r="R12" s="13" t="inlineStr">
        <is>
          <t>synced audio; cost-efficient</t>
        </is>
      </c>
      <c r="S12" s="15" t="inlineStr">
        <is>
          <t>M</t>
        </is>
      </c>
      <c r="T12" s="13" t="inlineStr">
        <is>
          <t>veo-3.1-lite-generate-preview (most cost-efficient video); provider-doc</t>
        </is>
      </c>
      <c r="U12" s="13" t="inlineStr">
        <is>
          <t>2026-06-07</t>
        </is>
      </c>
    </row>
  </sheetData>
  <mergeCells count="1">
    <mergeCell ref="J1:O1"/>
  </mergeCells>
  <conditionalFormatting sqref="J3:J12">
    <cfRule type="colorScale" priority="1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K3:K12">
    <cfRule type="colorScale" priority="2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L3:L12">
    <cfRule type="colorScale" priority="3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M3:M12">
    <cfRule type="colorScale" priority="4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N3:N12">
    <cfRule type="colorScale" priority="5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O3:O12">
    <cfRule type="colorScale" priority="6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P3:P12">
    <cfRule type="colorScale" priority="7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6" customWidth="1" min="2" max="2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40" customWidth="1" min="20" max="20"/>
  </cols>
  <sheetData>
    <row r="1">
      <c r="J1" s="17" t="inlineStr">
        <is>
          <t>Quality Stats (0-10)</t>
        </is>
      </c>
    </row>
    <row r="2" ht="42" customHeight="1">
      <c r="A2" s="12" t="inlineStr">
        <is>
          <t>Model ID</t>
        </is>
      </c>
      <c r="B2" s="12" t="inlineStr">
        <is>
          <t>Model Name</t>
        </is>
      </c>
      <c r="C2" s="12" t="inlineStr">
        <is>
          <t>Provider</t>
        </is>
      </c>
      <c r="D2" s="12" t="inlineStr">
        <is>
          <t>Status</t>
        </is>
      </c>
      <c r="E2" s="12" t="inlineStr">
        <is>
          <t>Routing Surface</t>
        </is>
      </c>
      <c r="F2" s="12" t="inlineStr">
        <is>
          <t>Surface Type</t>
        </is>
      </c>
      <c r="G2" s="12" t="inlineStr">
        <is>
          <t>Auth on Dell</t>
        </is>
      </c>
      <c r="H2" s="12" t="inlineStr">
        <is>
          <t>Billing Class</t>
        </is>
      </c>
      <c r="I2" s="12" t="inlineStr">
        <is>
          <t>Runs Local</t>
        </is>
      </c>
      <c r="J2" s="12" t="inlineStr">
        <is>
          <t>Accuracy (WER inv)</t>
        </is>
      </c>
      <c r="K2" s="12" t="inlineStr">
        <is>
          <t>Naturalness (TTS)</t>
        </is>
      </c>
      <c r="L2" s="12" t="inlineStr">
        <is>
          <t>Latency</t>
        </is>
      </c>
      <c r="M2" s="12" t="inlineStr">
        <is>
          <t>Languages</t>
        </is>
      </c>
      <c r="N2" s="12" t="inlineStr">
        <is>
          <t>Speed</t>
        </is>
      </c>
      <c r="O2" s="12" t="inlineStr">
        <is>
          <t>Cost-Efficiency</t>
        </is>
      </c>
      <c r="P2" s="12" t="inlineStr">
        <is>
          <t>OVERALL ★</t>
        </is>
      </c>
      <c r="Q2" s="12" t="inlineStr">
        <is>
          <t>Subtype</t>
        </is>
      </c>
      <c r="R2" s="12" t="inlineStr">
        <is>
          <t>Notes</t>
        </is>
      </c>
      <c r="S2" s="12" t="inlineStr">
        <is>
          <t>Confidence</t>
        </is>
      </c>
      <c r="T2" s="12" t="inlineStr">
        <is>
          <t>Sources</t>
        </is>
      </c>
      <c r="U2" s="12" t="inlineStr">
        <is>
          <t>Last Verified</t>
        </is>
      </c>
    </row>
    <row r="3">
      <c r="A3" s="13" t="inlineStr">
        <is>
          <t>gpt-realtime-1.5</t>
        </is>
      </c>
      <c r="B3" s="13" t="inlineStr">
        <is>
          <t>GPT Realtime 1.5</t>
        </is>
      </c>
      <c r="C3" s="13" t="inlineStr">
        <is>
          <t>OpenAI</t>
        </is>
      </c>
      <c r="D3" s="13" t="inlineStr">
        <is>
          <t>Legacy (prior)</t>
        </is>
      </c>
      <c r="E3" s="13" t="inlineStr">
        <is>
          <t>OpenAI API</t>
        </is>
      </c>
      <c r="F3" s="13" t="inlineStr">
        <is>
          <t>HTTP API</t>
        </is>
      </c>
      <c r="G3" s="13" t="inlineStr">
        <is>
          <t>No standalone key</t>
        </is>
      </c>
      <c r="H3" s="13" t="inlineStr">
        <is>
          <t>metered (not configured)</t>
        </is>
      </c>
      <c r="I3" s="13" t="inlineStr">
        <is>
          <t>No</t>
        </is>
      </c>
      <c r="J3" s="13" t="n">
        <v>8.800000000000001</v>
      </c>
      <c r="K3" s="13" t="n">
        <v>9</v>
      </c>
      <c r="L3" s="13" t="n">
        <v>9.199999999999999</v>
      </c>
      <c r="M3" s="13" t="n">
        <v>8.5</v>
      </c>
      <c r="N3" s="13" t="n">
        <v>9</v>
      </c>
      <c r="O3" s="13" t="n">
        <v>5.5</v>
      </c>
      <c r="P3" s="13">
        <f>IFERROR(ROUND(AVERAGE(J3:O3),1),"")</f>
        <v/>
      </c>
      <c r="Q3" s="13" t="inlineStr">
        <is>
          <t>STT+TTS realtime</t>
        </is>
      </c>
      <c r="R3" s="13" t="inlineStr">
        <is>
          <t>audio in/out</t>
        </is>
      </c>
      <c r="S3" s="15" t="inlineStr">
        <is>
          <t>M</t>
        </is>
      </c>
      <c r="T3" s="13" t="inlineStr">
        <is>
          <t>Best realtime voice</t>
        </is>
      </c>
      <c r="U3" s="13" t="inlineStr">
        <is>
          <t>2026-06-07</t>
        </is>
      </c>
    </row>
    <row r="4">
      <c r="A4" s="13" t="inlineStr">
        <is>
          <t>whisper-1</t>
        </is>
      </c>
      <c r="B4" s="13" t="inlineStr">
        <is>
          <t>Whisper</t>
        </is>
      </c>
      <c r="C4" s="13" t="inlineStr">
        <is>
          <t>OpenAI</t>
        </is>
      </c>
      <c r="D4" s="13" t="inlineStr">
        <is>
          <t>Current</t>
        </is>
      </c>
      <c r="E4" s="13" t="inlineStr">
        <is>
          <t>OpenAI API</t>
        </is>
      </c>
      <c r="F4" s="13" t="inlineStr">
        <is>
          <t>HTTP API</t>
        </is>
      </c>
      <c r="G4" s="13" t="inlineStr">
        <is>
          <t>No standalone key</t>
        </is>
      </c>
      <c r="H4" s="13" t="inlineStr">
        <is>
          <t>metered (not configured)</t>
        </is>
      </c>
      <c r="I4" s="13" t="inlineStr">
        <is>
          <t>No</t>
        </is>
      </c>
      <c r="J4" s="13" t="n">
        <v>8.6</v>
      </c>
      <c r="K4" s="13" t="inlineStr"/>
      <c r="L4" s="13" t="n">
        <v>7</v>
      </c>
      <c r="M4" s="13" t="n">
        <v>9</v>
      </c>
      <c r="N4" s="13" t="n">
        <v>8</v>
      </c>
      <c r="O4" s="13" t="n">
        <v>8.5</v>
      </c>
      <c r="P4" s="13">
        <f>IFERROR(ROUND(AVERAGE(J4:O4),1),"")</f>
        <v/>
      </c>
      <c r="Q4" s="13" t="inlineStr">
        <is>
          <t>STT</t>
        </is>
      </c>
      <c r="R4" s="13" t="inlineStr">
        <is>
          <t>99 langs</t>
        </is>
      </c>
      <c r="S4" s="14" t="inlineStr">
        <is>
          <t>H</t>
        </is>
      </c>
      <c r="T4" s="13" t="inlineStr">
        <is>
          <t>General-purpose ASR, widely benchmarked</t>
        </is>
      </c>
      <c r="U4" s="13" t="inlineStr">
        <is>
          <t>2026-06-07</t>
        </is>
      </c>
    </row>
    <row r="5">
      <c r="A5" s="13" t="inlineStr">
        <is>
          <t>gpt-4o-transcribe</t>
        </is>
      </c>
      <c r="B5" s="13" t="inlineStr">
        <is>
          <t>GPT-4o Transcribe</t>
        </is>
      </c>
      <c r="C5" s="13" t="inlineStr">
        <is>
          <t>OpenAI</t>
        </is>
      </c>
      <c r="D5" s="13" t="inlineStr">
        <is>
          <t>Current</t>
        </is>
      </c>
      <c r="E5" s="13" t="inlineStr">
        <is>
          <t>OpenAI API</t>
        </is>
      </c>
      <c r="F5" s="13" t="inlineStr">
        <is>
          <t>HTTP API</t>
        </is>
      </c>
      <c r="G5" s="13" t="inlineStr">
        <is>
          <t>No standalone key</t>
        </is>
      </c>
      <c r="H5" s="13" t="inlineStr">
        <is>
          <t>metered (not configured)</t>
        </is>
      </c>
      <c r="I5" s="13" t="inlineStr">
        <is>
          <t>No</t>
        </is>
      </c>
      <c r="J5" s="13" t="n">
        <v>8.800000000000001</v>
      </c>
      <c r="K5" s="13" t="inlineStr"/>
      <c r="L5" s="13" t="n">
        <v>7.5</v>
      </c>
      <c r="M5" s="13" t="n">
        <v>9</v>
      </c>
      <c r="N5" s="13" t="n">
        <v>8</v>
      </c>
      <c r="O5" s="13" t="n">
        <v>7</v>
      </c>
      <c r="P5" s="13">
        <f>IFERROR(ROUND(AVERAGE(J5:O5),1),"")</f>
        <v/>
      </c>
      <c r="Q5" s="13" t="inlineStr">
        <is>
          <t>STT</t>
        </is>
      </c>
      <c r="R5" s="13" t="inlineStr">
        <is>
          <t>multi</t>
        </is>
      </c>
      <c r="S5" s="15" t="inlineStr">
        <is>
          <t>M</t>
        </is>
      </c>
      <c r="T5" s="13" t="inlineStr">
        <is>
          <t>GPT-4o-powered ASR</t>
        </is>
      </c>
      <c r="U5" s="13" t="inlineStr">
        <is>
          <t>2026-06-07</t>
        </is>
      </c>
    </row>
    <row r="6">
      <c r="A6" s="13" t="inlineStr">
        <is>
          <t>gpt-4o-mini-tts</t>
        </is>
      </c>
      <c r="B6" s="13" t="inlineStr">
        <is>
          <t>GPT-4o Mini TTS</t>
        </is>
      </c>
      <c r="C6" s="13" t="inlineStr">
        <is>
          <t>OpenAI</t>
        </is>
      </c>
      <c r="D6" s="13" t="inlineStr">
        <is>
          <t>Current</t>
        </is>
      </c>
      <c r="E6" s="13" t="inlineStr">
        <is>
          <t>OpenAI API</t>
        </is>
      </c>
      <c r="F6" s="13" t="inlineStr">
        <is>
          <t>HTTP API</t>
        </is>
      </c>
      <c r="G6" s="13" t="inlineStr">
        <is>
          <t>No standalone key</t>
        </is>
      </c>
      <c r="H6" s="13" t="inlineStr">
        <is>
          <t>metered (not configured)</t>
        </is>
      </c>
      <c r="I6" s="13" t="inlineStr">
        <is>
          <t>No</t>
        </is>
      </c>
      <c r="J6" s="13" t="inlineStr"/>
      <c r="K6" s="13" t="n">
        <v>8.6</v>
      </c>
      <c r="L6" s="13" t="n">
        <v>8.5</v>
      </c>
      <c r="M6" s="13" t="n">
        <v>8</v>
      </c>
      <c r="N6" s="13" t="n">
        <v>9</v>
      </c>
      <c r="O6" s="13" t="n">
        <v>8</v>
      </c>
      <c r="P6" s="13">
        <f>IFERROR(ROUND(AVERAGE(J6:O6),1),"")</f>
        <v/>
      </c>
      <c r="Q6" s="13" t="inlineStr">
        <is>
          <t>TTS</t>
        </is>
      </c>
      <c r="R6" s="13" t="inlineStr">
        <is>
          <t>multi</t>
        </is>
      </c>
      <c r="S6" s="15" t="inlineStr">
        <is>
          <t>M</t>
        </is>
      </c>
      <c r="T6" s="13" t="inlineStr">
        <is>
          <t>Steerable TTS</t>
        </is>
      </c>
      <c r="U6" s="13" t="inlineStr">
        <is>
          <t>2026-06-07</t>
        </is>
      </c>
    </row>
    <row r="7">
      <c r="A7" s="13" t="inlineStr">
        <is>
          <t>voxtral-small-25-07</t>
        </is>
      </c>
      <c r="B7" s="13" t="inlineStr">
        <is>
          <t>Voxtral Small</t>
        </is>
      </c>
      <c r="C7" s="13" t="inlineStr">
        <is>
          <t>Mistral</t>
        </is>
      </c>
      <c r="D7" s="13" t="inlineStr">
        <is>
          <t>Current</t>
        </is>
      </c>
      <c r="E7" s="13" t="inlineStr">
        <is>
          <t>Mistral API</t>
        </is>
      </c>
      <c r="F7" s="13" t="inlineStr">
        <is>
          <t>HTTP API</t>
        </is>
      </c>
      <c r="G7" s="13" t="inlineStr">
        <is>
          <t>Not-keyed</t>
        </is>
      </c>
      <c r="H7" s="13" t="inlineStr">
        <is>
          <t>metered (not configured)</t>
        </is>
      </c>
      <c r="I7" s="13" t="inlineStr">
        <is>
          <t>No</t>
        </is>
      </c>
      <c r="J7" s="13" t="n">
        <v>8</v>
      </c>
      <c r="K7" s="13" t="n">
        <v>7.5</v>
      </c>
      <c r="L7" s="13" t="n">
        <v>7.5</v>
      </c>
      <c r="M7" s="13" t="n">
        <v>8</v>
      </c>
      <c r="N7" s="13" t="n">
        <v>8</v>
      </c>
      <c r="O7" s="13" t="n">
        <v>8</v>
      </c>
      <c r="P7" s="13">
        <f>IFERROR(ROUND(AVERAGE(J7:O7),1),"")</f>
        <v/>
      </c>
      <c r="Q7" s="13" t="inlineStr">
        <is>
          <t>STT+audio</t>
        </is>
      </c>
      <c r="R7" s="13" t="inlineStr">
        <is>
          <t>multi</t>
        </is>
      </c>
      <c r="S7" s="16" t="inlineStr">
        <is>
          <t>L</t>
        </is>
      </c>
      <c r="T7" s="13" t="inlineStr">
        <is>
          <t>Mistral audio model</t>
        </is>
      </c>
      <c r="U7" s="13" t="inlineStr">
        <is>
          <t>2026-06-07</t>
        </is>
      </c>
    </row>
    <row r="8">
      <c r="A8" s="13" t="inlineStr">
        <is>
          <t>amazon.nova-2-sonic</t>
        </is>
      </c>
      <c r="B8" s="13" t="inlineStr">
        <is>
          <t>Amazon Nova 2 Sonic</t>
        </is>
      </c>
      <c r="C8" s="13" t="inlineStr">
        <is>
          <t>Amazon</t>
        </is>
      </c>
      <c r="D8" s="13" t="inlineStr">
        <is>
          <t>Current</t>
        </is>
      </c>
      <c r="E8" s="13" t="inlineStr">
        <is>
          <t>Amazon Bedrock (Kiro)</t>
        </is>
      </c>
      <c r="F8" s="13" t="inlineStr">
        <is>
          <t>Aggregator</t>
        </is>
      </c>
      <c r="G8" s="13" t="inlineStr">
        <is>
          <t>Installed; login unverified</t>
        </is>
      </c>
      <c r="H8" s="13" t="inlineStr">
        <is>
          <t>metered (not configured)</t>
        </is>
      </c>
      <c r="I8" s="13" t="inlineStr">
        <is>
          <t>No</t>
        </is>
      </c>
      <c r="J8" s="13" t="n">
        <v>8.199999999999999</v>
      </c>
      <c r="K8" s="13" t="n">
        <v>8.4</v>
      </c>
      <c r="L8" s="13" t="n">
        <v>8.6</v>
      </c>
      <c r="M8" s="13" t="n">
        <v>7.5</v>
      </c>
      <c r="N8" s="13" t="n">
        <v>8.5</v>
      </c>
      <c r="O8" s="13" t="n">
        <v>7.5</v>
      </c>
      <c r="P8" s="13">
        <f>IFERROR(ROUND(AVERAGE(J8:O8),1),"")</f>
        <v/>
      </c>
      <c r="Q8" s="13" t="inlineStr">
        <is>
          <t>realtime</t>
        </is>
      </c>
      <c r="R8" s="13" t="inlineStr">
        <is>
          <t>conversational</t>
        </is>
      </c>
      <c r="S8" s="16" t="inlineStr">
        <is>
          <t>L</t>
        </is>
      </c>
      <c r="T8" s="13" t="inlineStr">
        <is>
          <t>Bedrock conversational audio</t>
        </is>
      </c>
      <c r="U8" s="13" t="inlineStr">
        <is>
          <t>2026-06-07</t>
        </is>
      </c>
    </row>
    <row r="9">
      <c r="A9" s="13" t="inlineStr">
        <is>
          <t>mai-transcribe-1.5</t>
        </is>
      </c>
      <c r="B9" s="13" t="inlineStr">
        <is>
          <t>MAI-Transcribe-1.5</t>
        </is>
      </c>
      <c r="C9" s="13" t="inlineStr">
        <is>
          <t>Microsoft</t>
        </is>
      </c>
      <c r="D9" s="13" t="inlineStr">
        <is>
          <t>Current (new 2026-06-02)</t>
        </is>
      </c>
      <c r="E9" s="13" t="inlineStr">
        <is>
          <t>Azure AI Foundry</t>
        </is>
      </c>
      <c r="F9" s="13" t="inlineStr">
        <is>
          <t>Aggregator</t>
        </is>
      </c>
      <c r="G9" s="13" t="inlineStr">
        <is>
          <t>Not credentialed</t>
        </is>
      </c>
      <c r="H9" s="13" t="inlineStr">
        <is>
          <t>metered (not configured)</t>
        </is>
      </c>
      <c r="I9" s="13" t="inlineStr">
        <is>
          <t>No</t>
        </is>
      </c>
      <c r="J9" s="13" t="n">
        <v>9.199999999999999</v>
      </c>
      <c r="K9" s="13" t="inlineStr"/>
      <c r="L9" s="13" t="n">
        <v>8</v>
      </c>
      <c r="M9" s="13" t="n">
        <v>8.5</v>
      </c>
      <c r="N9" s="13" t="n">
        <v>8.5</v>
      </c>
      <c r="O9" s="13" t="n">
        <v>8</v>
      </c>
      <c r="P9" s="13">
        <f>IFERROR(ROUND(AVERAGE(J9:O9),1),"")</f>
        <v/>
      </c>
      <c r="Q9" s="13" t="inlineStr">
        <is>
          <t>STT</t>
        </is>
      </c>
      <c r="R9" s="13" t="inlineStr">
        <is>
          <t>SOTA accuracy claim</t>
        </is>
      </c>
      <c r="S9" s="15" t="inlineStr">
        <is>
          <t>M</t>
        </is>
      </c>
      <c r="T9" s="13" t="inlineStr">
        <is>
          <t>Microsoft best-in-class transcription; family-inherited estimate (scaled from flagship); verify before HIGH-stakes routing</t>
        </is>
      </c>
      <c r="U9" s="13" t="inlineStr">
        <is>
          <t>2026-06-07</t>
        </is>
      </c>
    </row>
    <row r="10">
      <c r="A10" s="13" t="inlineStr">
        <is>
          <t>mai-transcribe-1.5</t>
        </is>
      </c>
      <c r="B10" s="13" t="inlineStr">
        <is>
          <t>MAI-Transcribe-1.5</t>
        </is>
      </c>
      <c r="C10" s="13" t="inlineStr">
        <is>
          <t>Microsoft</t>
        </is>
      </c>
      <c r="D10" s="13" t="inlineStr">
        <is>
          <t>Current (new 2026-06-02)</t>
        </is>
      </c>
      <c r="E10" s="13" t="inlineStr">
        <is>
          <t>GitHub Copilot CLI</t>
        </is>
      </c>
      <c r="F10" s="13" t="inlineStr">
        <is>
          <t>CLI</t>
        </is>
      </c>
      <c r="G10" s="13" t="inlineStr">
        <is>
          <t>Working (premium req)</t>
        </is>
      </c>
      <c r="H10" s="13" t="inlineStr">
        <is>
          <t>subscription_included</t>
        </is>
      </c>
      <c r="I10" s="13" t="inlineStr">
        <is>
          <t>No</t>
        </is>
      </c>
      <c r="J10" s="13" t="n">
        <v>9.199999999999999</v>
      </c>
      <c r="K10" s="13" t="inlineStr"/>
      <c r="L10" s="13" t="n">
        <v>8</v>
      </c>
      <c r="M10" s="13" t="n">
        <v>8.5</v>
      </c>
      <c r="N10" s="13" t="n">
        <v>8.5</v>
      </c>
      <c r="O10" s="13" t="n">
        <v>8</v>
      </c>
      <c r="P10" s="13">
        <f>IFERROR(ROUND(AVERAGE(J10:O10),1),"")</f>
        <v/>
      </c>
      <c r="Q10" s="13" t="inlineStr">
        <is>
          <t>STT</t>
        </is>
      </c>
      <c r="R10" s="13" t="inlineStr">
        <is>
          <t>SOTA accuracy claim</t>
        </is>
      </c>
      <c r="S10" s="15" t="inlineStr">
        <is>
          <t>M</t>
        </is>
      </c>
      <c r="T10" s="13" t="inlineStr">
        <is>
          <t>Microsoft best-in-class transcription; family-inherited estimate (scaled from flagship); verify before HIGH-stakes routing</t>
        </is>
      </c>
      <c r="U10" s="13" t="inlineStr">
        <is>
          <t>2026-06-07</t>
        </is>
      </c>
    </row>
    <row r="11">
      <c r="A11" s="13" t="inlineStr">
        <is>
          <t>mai-voice-2</t>
        </is>
      </c>
      <c r="B11" s="13" t="inlineStr">
        <is>
          <t>MAI-Voice-2</t>
        </is>
      </c>
      <c r="C11" s="13" t="inlineStr">
        <is>
          <t>Microsoft</t>
        </is>
      </c>
      <c r="D11" s="13" t="inlineStr">
        <is>
          <t>Current (new 2026-06-02)</t>
        </is>
      </c>
      <c r="E11" s="13" t="inlineStr">
        <is>
          <t>Azure AI Foundry</t>
        </is>
      </c>
      <c r="F11" s="13" t="inlineStr">
        <is>
          <t>Aggregator</t>
        </is>
      </c>
      <c r="G11" s="13" t="inlineStr">
        <is>
          <t>Not credentialed</t>
        </is>
      </c>
      <c r="H11" s="13" t="inlineStr">
        <is>
          <t>metered (not configured)</t>
        </is>
      </c>
      <c r="I11" s="13" t="inlineStr">
        <is>
          <t>No</t>
        </is>
      </c>
      <c r="J11" s="13" t="inlineStr"/>
      <c r="K11" s="13" t="n">
        <v>8.800000000000001</v>
      </c>
      <c r="L11" s="13" t="n">
        <v>8.5</v>
      </c>
      <c r="M11" s="13" t="n">
        <v>8</v>
      </c>
      <c r="N11" s="13" t="n">
        <v>8.5</v>
      </c>
      <c r="O11" s="13" t="n">
        <v>8</v>
      </c>
      <c r="P11" s="13">
        <f>IFERROR(ROUND(AVERAGE(J11:O11),1),"")</f>
        <v/>
      </c>
      <c r="Q11" s="13" t="inlineStr">
        <is>
          <t>TTS</t>
        </is>
      </c>
      <c r="R11" s="13" t="inlineStr">
        <is>
          <t>15 langs, voice cloning</t>
        </is>
      </c>
      <c r="S11" s="15" t="inlineStr">
        <is>
          <t>M</t>
        </is>
      </c>
      <c r="T11" s="13" t="inlineStr">
        <is>
          <t>Natural TTS, voice adaptation from short sample; family-inherited estimate (scaled from flagship); verify before HIGH-stakes routing</t>
        </is>
      </c>
      <c r="U11" s="13" t="inlineStr">
        <is>
          <t>2026-06-07</t>
        </is>
      </c>
    </row>
    <row r="12">
      <c r="A12" s="13" t="inlineStr">
        <is>
          <t>mai-voice-2</t>
        </is>
      </c>
      <c r="B12" s="13" t="inlineStr">
        <is>
          <t>MAI-Voice-2</t>
        </is>
      </c>
      <c r="C12" s="13" t="inlineStr">
        <is>
          <t>Microsoft</t>
        </is>
      </c>
      <c r="D12" s="13" t="inlineStr">
        <is>
          <t>Current (new 2026-06-02)</t>
        </is>
      </c>
      <c r="E12" s="13" t="inlineStr">
        <is>
          <t>GitHub Copilot CLI</t>
        </is>
      </c>
      <c r="F12" s="13" t="inlineStr">
        <is>
          <t>CLI</t>
        </is>
      </c>
      <c r="G12" s="13" t="inlineStr">
        <is>
          <t>Working (premium req)</t>
        </is>
      </c>
      <c r="H12" s="13" t="inlineStr">
        <is>
          <t>subscription_included</t>
        </is>
      </c>
      <c r="I12" s="13" t="inlineStr">
        <is>
          <t>No</t>
        </is>
      </c>
      <c r="J12" s="13" t="inlineStr"/>
      <c r="K12" s="13" t="n">
        <v>8.800000000000001</v>
      </c>
      <c r="L12" s="13" t="n">
        <v>8.5</v>
      </c>
      <c r="M12" s="13" t="n">
        <v>8</v>
      </c>
      <c r="N12" s="13" t="n">
        <v>8.5</v>
      </c>
      <c r="O12" s="13" t="n">
        <v>8</v>
      </c>
      <c r="P12" s="13">
        <f>IFERROR(ROUND(AVERAGE(J12:O12),1),"")</f>
        <v/>
      </c>
      <c r="Q12" s="13" t="inlineStr">
        <is>
          <t>TTS</t>
        </is>
      </c>
      <c r="R12" s="13" t="inlineStr">
        <is>
          <t>15 langs, voice cloning</t>
        </is>
      </c>
      <c r="S12" s="15" t="inlineStr">
        <is>
          <t>M</t>
        </is>
      </c>
      <c r="T12" s="13" t="inlineStr">
        <is>
          <t>Natural TTS, voice adaptation from short sample; family-inherited estimate (scaled from flagship); verify before HIGH-stakes routing</t>
        </is>
      </c>
      <c r="U12" s="13" t="inlineStr">
        <is>
          <t>2026-06-07</t>
        </is>
      </c>
    </row>
    <row r="13">
      <c r="A13" s="13" t="inlineStr">
        <is>
          <t>gpt-realtime-2</t>
        </is>
      </c>
      <c r="B13" s="13" t="inlineStr">
        <is>
          <t>GPT Realtime 2 (reason+translate+transcribe)</t>
        </is>
      </c>
      <c r="C13" s="13" t="inlineStr">
        <is>
          <t>OpenAI</t>
        </is>
      </c>
      <c r="D13" s="13" t="inlineStr">
        <is>
          <t>Current (2026)</t>
        </is>
      </c>
      <c r="E13" s="13" t="inlineStr">
        <is>
          <t>OpenAI API</t>
        </is>
      </c>
      <c r="F13" s="13" t="inlineStr">
        <is>
          <t>HTTP API</t>
        </is>
      </c>
      <c r="G13" s="13" t="inlineStr">
        <is>
          <t>No standalone key</t>
        </is>
      </c>
      <c r="H13" s="13" t="inlineStr">
        <is>
          <t>metered (not configured)</t>
        </is>
      </c>
      <c r="I13" s="13" t="inlineStr">
        <is>
          <t>No</t>
        </is>
      </c>
      <c r="J13" s="13" t="n">
        <v>9</v>
      </c>
      <c r="K13" s="13" t="n">
        <v>9</v>
      </c>
      <c r="L13" s="13" t="n">
        <v>9.199999999999999</v>
      </c>
      <c r="M13" s="13" t="n">
        <v>9</v>
      </c>
      <c r="N13" s="13" t="n">
        <v>9</v>
      </c>
      <c r="O13" s="13" t="n">
        <v>5.5</v>
      </c>
      <c r="P13" s="13">
        <f>IFERROR(ROUND(AVERAGE(J13:O13),1),"")</f>
        <v/>
      </c>
      <c r="Q13" s="13" t="inlineStr">
        <is>
          <t>realtime</t>
        </is>
      </c>
      <c r="R13" s="13" t="inlineStr">
        <is>
          <t>reason/translate/transcribe</t>
        </is>
      </c>
      <c r="S13" s="15" t="inlineStr">
        <is>
          <t>M</t>
        </is>
      </c>
      <c r="T13" s="13" t="inlineStr">
        <is>
          <t>New OpenAI realtime voice family (provider-doc June 2026)</t>
        </is>
      </c>
      <c r="U13" s="13" t="inlineStr">
        <is>
          <t>2026-06-07</t>
        </is>
      </c>
    </row>
    <row r="14">
      <c r="A14" s="13" t="inlineStr">
        <is>
          <t>gemini-3.1-flash-live</t>
        </is>
      </c>
      <c r="B14" s="13" t="inlineStr">
        <is>
          <t>Gemini 3.1 Flash Live</t>
        </is>
      </c>
      <c r="C14" s="13" t="inlineStr">
        <is>
          <t>Google</t>
        </is>
      </c>
      <c r="D14" s="13" t="inlineStr">
        <is>
          <t>Current (2026)</t>
        </is>
      </c>
      <c r="E14" s="13" t="inlineStr">
        <is>
          <t>Google Gemini API</t>
        </is>
      </c>
      <c r="F14" s="13" t="inlineStr">
        <is>
          <t>HTTP API</t>
        </is>
      </c>
      <c r="G14" s="13" t="inlineStr">
        <is>
          <t>Working (re-authed)</t>
        </is>
      </c>
      <c r="H14" s="13" t="inlineStr">
        <is>
          <t>subscription_included</t>
        </is>
      </c>
      <c r="I14" s="13" t="inlineStr">
        <is>
          <t>No</t>
        </is>
      </c>
      <c r="J14" s="13" t="n">
        <v>8.6</v>
      </c>
      <c r="K14" s="13" t="n">
        <v>8.800000000000001</v>
      </c>
      <c r="L14" s="13" t="n">
        <v>9</v>
      </c>
      <c r="M14" s="13" t="n">
        <v>8.5</v>
      </c>
      <c r="N14" s="13" t="n">
        <v>9</v>
      </c>
      <c r="O14" s="13" t="n">
        <v>7.5</v>
      </c>
      <c r="P14" s="13">
        <f>IFERROR(ROUND(AVERAGE(J14:O14),1),"")</f>
        <v/>
      </c>
      <c r="Q14" s="13" t="inlineStr">
        <is>
          <t>realtime</t>
        </is>
      </c>
      <c r="R14" s="13" t="inlineStr">
        <is>
          <t>audio-to-audio dialogue</t>
        </is>
      </c>
      <c r="S14" s="15" t="inlineStr">
        <is>
          <t>M</t>
        </is>
      </c>
      <c r="T14" s="13" t="inlineStr">
        <is>
          <t>Real-time voice-first model (provider-doc)</t>
        </is>
      </c>
      <c r="U14" s="13" t="inlineStr">
        <is>
          <t>2026-06-07</t>
        </is>
      </c>
    </row>
    <row r="15">
      <c r="A15" s="13" t="inlineStr">
        <is>
          <t>lyria-3</t>
        </is>
      </c>
      <c r="B15" s="13" t="inlineStr">
        <is>
          <t>Lyria 3 (music gen)</t>
        </is>
      </c>
      <c r="C15" s="13" t="inlineStr">
        <is>
          <t>Google</t>
        </is>
      </c>
      <c r="D15" s="13" t="inlineStr">
        <is>
          <t>Current (2026)</t>
        </is>
      </c>
      <c r="E15" s="13" t="inlineStr">
        <is>
          <t>Google Gemini API</t>
        </is>
      </c>
      <c r="F15" s="13" t="inlineStr">
        <is>
          <t>HTTP API</t>
        </is>
      </c>
      <c r="G15" s="13" t="inlineStr">
        <is>
          <t>Working (re-authed)</t>
        </is>
      </c>
      <c r="H15" s="13" t="inlineStr">
        <is>
          <t>subscription_included</t>
        </is>
      </c>
      <c r="I15" s="13" t="inlineStr">
        <is>
          <t>No</t>
        </is>
      </c>
      <c r="J15" s="13" t="inlineStr"/>
      <c r="K15" s="13" t="n">
        <v>8.6</v>
      </c>
      <c r="L15" s="13" t="n">
        <v>7</v>
      </c>
      <c r="M15" s="13" t="inlineStr"/>
      <c r="N15" s="13" t="n">
        <v>7</v>
      </c>
      <c r="O15" s="13" t="n">
        <v>7</v>
      </c>
      <c r="P15" s="13">
        <f>IFERROR(ROUND(AVERAGE(J15:O15),1),"")</f>
        <v/>
      </c>
      <c r="Q15" s="13" t="inlineStr">
        <is>
          <t>Music gen</t>
        </is>
      </c>
      <c r="R15" s="13" t="inlineStr">
        <is>
          <t>clip + full-song</t>
        </is>
      </c>
      <c r="S15" s="15" t="inlineStr">
        <is>
          <t>M</t>
        </is>
      </c>
      <c r="T15" s="13" t="inlineStr">
        <is>
          <t>lyria-3-clip-preview / lyria-3-pro-preview (provider-doc)</t>
        </is>
      </c>
      <c r="U15" s="13" t="inlineStr">
        <is>
          <t>2026-06-07</t>
        </is>
      </c>
    </row>
  </sheetData>
  <mergeCells count="1">
    <mergeCell ref="J1:O1"/>
  </mergeCells>
  <conditionalFormatting sqref="J3:J15">
    <cfRule type="colorScale" priority="1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K3:K15">
    <cfRule type="colorScale" priority="2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L3:L15">
    <cfRule type="colorScale" priority="3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M3:M15">
    <cfRule type="colorScale" priority="4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N3:N15">
    <cfRule type="colorScale" priority="5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O3:O15">
    <cfRule type="colorScale" priority="6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P3:P15">
    <cfRule type="colorScale" priority="7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6" customWidth="1" min="2" max="2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40" customWidth="1" min="20" max="20"/>
  </cols>
  <sheetData>
    <row r="1">
      <c r="J1" s="17" t="inlineStr">
        <is>
          <t>Quality Stats (0-10)</t>
        </is>
      </c>
    </row>
    <row r="2" ht="42" customHeight="1">
      <c r="A2" s="12" t="inlineStr">
        <is>
          <t>Model ID</t>
        </is>
      </c>
      <c r="B2" s="12" t="inlineStr">
        <is>
          <t>Model Name</t>
        </is>
      </c>
      <c r="C2" s="12" t="inlineStr">
        <is>
          <t>Provider</t>
        </is>
      </c>
      <c r="D2" s="12" t="inlineStr">
        <is>
          <t>Status</t>
        </is>
      </c>
      <c r="E2" s="12" t="inlineStr">
        <is>
          <t>Routing Surface</t>
        </is>
      </c>
      <c r="F2" s="12" t="inlineStr">
        <is>
          <t>Surface Type</t>
        </is>
      </c>
      <c r="G2" s="12" t="inlineStr">
        <is>
          <t>Auth on Dell</t>
        </is>
      </c>
      <c r="H2" s="12" t="inlineStr">
        <is>
          <t>Billing Class</t>
        </is>
      </c>
      <c r="I2" s="12" t="inlineStr">
        <is>
          <t>Runs Local</t>
        </is>
      </c>
      <c r="J2" s="12" t="inlineStr">
        <is>
          <t>OCR Accuracy</t>
        </is>
      </c>
      <c r="K2" s="12" t="inlineStr">
        <is>
          <t>Doc Understanding</t>
        </is>
      </c>
      <c r="L2" s="12" t="inlineStr">
        <is>
          <t>Layout/Chart</t>
        </is>
      </c>
      <c r="M2" s="12" t="inlineStr">
        <is>
          <t>Extraction</t>
        </is>
      </c>
      <c r="N2" s="12" t="inlineStr">
        <is>
          <t>Speed</t>
        </is>
      </c>
      <c r="O2" s="12" t="inlineStr">
        <is>
          <t>Cost-Efficiency</t>
        </is>
      </c>
      <c r="P2" s="12" t="inlineStr">
        <is>
          <t>OVERALL ★</t>
        </is>
      </c>
      <c r="Q2" s="12" t="inlineStr">
        <is>
          <t>Subtype</t>
        </is>
      </c>
      <c r="R2" s="12" t="inlineStr">
        <is>
          <t>Notes</t>
        </is>
      </c>
      <c r="S2" s="12" t="inlineStr">
        <is>
          <t>Confidence</t>
        </is>
      </c>
      <c r="T2" s="12" t="inlineStr">
        <is>
          <t>Sources</t>
        </is>
      </c>
      <c r="U2" s="12" t="inlineStr">
        <is>
          <t>Last Verified</t>
        </is>
      </c>
    </row>
    <row r="3">
      <c r="A3" s="13" t="inlineStr">
        <is>
          <t>ocr-3-25-12</t>
        </is>
      </c>
      <c r="B3" s="13" t="inlineStr">
        <is>
          <t>Mistral OCR 3</t>
        </is>
      </c>
      <c r="C3" s="13" t="inlineStr">
        <is>
          <t>Mistral</t>
        </is>
      </c>
      <c r="D3" s="13" t="inlineStr">
        <is>
          <t>Current</t>
        </is>
      </c>
      <c r="E3" s="13" t="inlineStr">
        <is>
          <t>Mistral API</t>
        </is>
      </c>
      <c r="F3" s="13" t="inlineStr">
        <is>
          <t>HTTP API</t>
        </is>
      </c>
      <c r="G3" s="13" t="inlineStr">
        <is>
          <t>Not-keyed</t>
        </is>
      </c>
      <c r="H3" s="13" t="inlineStr">
        <is>
          <t>metered (not configured)</t>
        </is>
      </c>
      <c r="I3" s="13" t="inlineStr">
        <is>
          <t>No</t>
        </is>
      </c>
      <c r="J3" s="13" t="n">
        <v>8.6</v>
      </c>
      <c r="K3" s="13" t="n">
        <v>8</v>
      </c>
      <c r="L3" s="13" t="n">
        <v>8.199999999999999</v>
      </c>
      <c r="M3" s="13" t="n">
        <v>8</v>
      </c>
      <c r="N3" s="13" t="n">
        <v>8</v>
      </c>
      <c r="O3" s="13" t="n">
        <v>8</v>
      </c>
      <c r="P3" s="13">
        <f>IFERROR(ROUND(AVERAGE(J3:O3),1),"")</f>
        <v/>
      </c>
      <c r="Q3" s="13" t="inlineStr">
        <is>
          <t>document OCR</t>
        </is>
      </c>
      <c r="R3" s="13" t="inlineStr"/>
      <c r="S3" s="15" t="inlineStr">
        <is>
          <t>M</t>
        </is>
      </c>
      <c r="T3" s="13" t="inlineStr">
        <is>
          <t>Mistral OCR latest</t>
        </is>
      </c>
      <c r="U3" s="13" t="inlineStr">
        <is>
          <t>2026-06-07</t>
        </is>
      </c>
    </row>
    <row r="4">
      <c r="A4" s="13" t="inlineStr">
        <is>
          <t>glm-ocr</t>
        </is>
      </c>
      <c r="B4" s="13" t="inlineStr">
        <is>
          <t>GLM-OCR (local)</t>
        </is>
      </c>
      <c r="C4" s="13" t="inlineStr">
        <is>
          <t>Zhipu AI</t>
        </is>
      </c>
      <c r="D4" s="13" t="inlineStr">
        <is>
          <t>Current</t>
        </is>
      </c>
      <c r="E4" s="13" t="inlineStr">
        <is>
          <t>Ollama (local)</t>
        </is>
      </c>
      <c r="F4" s="13" t="inlineStr">
        <is>
          <t>Local</t>
        </is>
      </c>
      <c r="G4" s="13" t="inlineStr">
        <is>
          <t>Running (free)</t>
        </is>
      </c>
      <c r="H4" s="13" t="inlineStr">
        <is>
          <t>local_free</t>
        </is>
      </c>
      <c r="I4" s="13" t="inlineStr">
        <is>
          <t>Yes</t>
        </is>
      </c>
      <c r="J4" s="13" t="n">
        <v>8</v>
      </c>
      <c r="K4" s="13" t="n">
        <v>7.6</v>
      </c>
      <c r="L4" s="13" t="n">
        <v>7.8</v>
      </c>
      <c r="M4" s="13" t="n">
        <v>7.6</v>
      </c>
      <c r="N4" s="13" t="n">
        <v>7</v>
      </c>
      <c r="O4" s="13" t="n">
        <v>9.6</v>
      </c>
      <c r="P4" s="13">
        <f>IFERROR(ROUND(AVERAGE(J4:O4),1),"")</f>
        <v/>
      </c>
      <c r="Q4" s="13" t="inlineStr">
        <is>
          <t>document OCR</t>
        </is>
      </c>
      <c r="R4" s="13" t="inlineStr">
        <is>
          <t>local</t>
        </is>
      </c>
      <c r="S4" s="16" t="inlineStr">
        <is>
          <t>L</t>
        </is>
      </c>
      <c r="T4" s="13" t="inlineStr">
        <is>
          <t>Local OCR on Dell</t>
        </is>
      </c>
      <c r="U4" s="13" t="inlineStr">
        <is>
          <t>2026-06-07</t>
        </is>
      </c>
    </row>
    <row r="5">
      <c r="A5" s="13" t="inlineStr">
        <is>
          <t>deepseek-vl2</t>
        </is>
      </c>
      <c r="B5" s="13" t="inlineStr">
        <is>
          <t>DeepSeek VL2</t>
        </is>
      </c>
      <c r="C5" s="13" t="inlineStr">
        <is>
          <t>DeepSeek</t>
        </is>
      </c>
      <c r="D5" s="13" t="inlineStr">
        <is>
          <t>Current</t>
        </is>
      </c>
      <c r="E5" s="13" t="inlineStr">
        <is>
          <t>DeepSeek API</t>
        </is>
      </c>
      <c r="F5" s="13" t="inlineStr">
        <is>
          <t>HTTP API</t>
        </is>
      </c>
      <c r="G5" s="13" t="inlineStr">
        <is>
          <t>Not-keyed</t>
        </is>
      </c>
      <c r="H5" s="13" t="inlineStr">
        <is>
          <t>metered (not configured)</t>
        </is>
      </c>
      <c r="I5" s="13" t="inlineStr">
        <is>
          <t>No</t>
        </is>
      </c>
      <c r="J5" s="13" t="n">
        <v>7.8</v>
      </c>
      <c r="K5" s="13" t="n">
        <v>7.8</v>
      </c>
      <c r="L5" s="13" t="n">
        <v>7.6</v>
      </c>
      <c r="M5" s="13" t="n">
        <v>7.6</v>
      </c>
      <c r="N5" s="13" t="n">
        <v>7</v>
      </c>
      <c r="O5" s="13" t="n">
        <v>9</v>
      </c>
      <c r="P5" s="13">
        <f>IFERROR(ROUND(AVERAGE(J5:O5),1),"")</f>
        <v/>
      </c>
      <c r="Q5" s="13" t="inlineStr">
        <is>
          <t>vision-language</t>
        </is>
      </c>
      <c r="R5" s="13" t="inlineStr"/>
      <c r="S5" s="16" t="inlineStr">
        <is>
          <t>L</t>
        </is>
      </c>
      <c r="T5" s="13" t="inlineStr">
        <is>
          <t>Doc understanding/OCR</t>
        </is>
      </c>
      <c r="U5" s="13" t="inlineStr">
        <is>
          <t>2026-06-07</t>
        </is>
      </c>
    </row>
    <row r="6">
      <c r="A6" s="13" t="inlineStr">
        <is>
          <t>qwen2.5vl:3b</t>
        </is>
      </c>
      <c r="B6" s="13" t="inlineStr">
        <is>
          <t>Qwen2.5 VL 3B (local)</t>
        </is>
      </c>
      <c r="C6" s="13" t="inlineStr">
        <is>
          <t>Alibaba</t>
        </is>
      </c>
      <c r="D6" s="13" t="inlineStr">
        <is>
          <t>Current</t>
        </is>
      </c>
      <c r="E6" s="13" t="inlineStr">
        <is>
          <t>Ollama (local)</t>
        </is>
      </c>
      <c r="F6" s="13" t="inlineStr">
        <is>
          <t>Local</t>
        </is>
      </c>
      <c r="G6" s="13" t="inlineStr">
        <is>
          <t>Running (free)</t>
        </is>
      </c>
      <c r="H6" s="13" t="inlineStr">
        <is>
          <t>local_free</t>
        </is>
      </c>
      <c r="I6" s="13" t="inlineStr">
        <is>
          <t>Yes</t>
        </is>
      </c>
      <c r="J6" s="13" t="n">
        <v>7.4</v>
      </c>
      <c r="K6" s="13" t="n">
        <v>7</v>
      </c>
      <c r="L6" s="13" t="n">
        <v>7</v>
      </c>
      <c r="M6" s="13" t="n">
        <v>7.2</v>
      </c>
      <c r="N6" s="13" t="n">
        <v>7.5</v>
      </c>
      <c r="O6" s="13" t="n">
        <v>9.6</v>
      </c>
      <c r="P6" s="13">
        <f>IFERROR(ROUND(AVERAGE(J6:O6),1),"")</f>
        <v/>
      </c>
      <c r="Q6" s="13" t="inlineStr">
        <is>
          <t>vision-language</t>
        </is>
      </c>
      <c r="R6" s="13" t="inlineStr">
        <is>
          <t>local</t>
        </is>
      </c>
      <c r="S6" s="16" t="inlineStr">
        <is>
          <t>L</t>
        </is>
      </c>
      <c r="T6" s="13" t="inlineStr">
        <is>
          <t>Local VL on Dell</t>
        </is>
      </c>
      <c r="U6" s="13" t="inlineStr">
        <is>
          <t>2026-06-07</t>
        </is>
      </c>
    </row>
    <row r="7">
      <c r="A7" s="13" t="inlineStr">
        <is>
          <t>qwen3-vl:2b</t>
        </is>
      </c>
      <c r="B7" s="13" t="inlineStr">
        <is>
          <t>Qwen3 VL 2B (local)</t>
        </is>
      </c>
      <c r="C7" s="13" t="inlineStr">
        <is>
          <t>Alibaba</t>
        </is>
      </c>
      <c r="D7" s="13" t="inlineStr">
        <is>
          <t>Current</t>
        </is>
      </c>
      <c r="E7" s="13" t="inlineStr">
        <is>
          <t>Ollama (local)</t>
        </is>
      </c>
      <c r="F7" s="13" t="inlineStr">
        <is>
          <t>Local</t>
        </is>
      </c>
      <c r="G7" s="13" t="inlineStr">
        <is>
          <t>Running (free)</t>
        </is>
      </c>
      <c r="H7" s="13" t="inlineStr">
        <is>
          <t>local_free</t>
        </is>
      </c>
      <c r="I7" s="13" t="inlineStr">
        <is>
          <t>Yes</t>
        </is>
      </c>
      <c r="J7" s="13" t="n">
        <v>7.2</v>
      </c>
      <c r="K7" s="13" t="n">
        <v>6.8</v>
      </c>
      <c r="L7" s="13" t="n">
        <v>6.8</v>
      </c>
      <c r="M7" s="13" t="n">
        <v>7</v>
      </c>
      <c r="N7" s="13" t="n">
        <v>7.8</v>
      </c>
      <c r="O7" s="13" t="n">
        <v>9.699999999999999</v>
      </c>
      <c r="P7" s="13">
        <f>IFERROR(ROUND(AVERAGE(J7:O7),1),"")</f>
        <v/>
      </c>
      <c r="Q7" s="13" t="inlineStr">
        <is>
          <t>vision-language</t>
        </is>
      </c>
      <c r="R7" s="13" t="inlineStr">
        <is>
          <t>local</t>
        </is>
      </c>
      <c r="S7" s="16" t="inlineStr">
        <is>
          <t>L</t>
        </is>
      </c>
      <c r="T7" s="13" t="inlineStr">
        <is>
          <t>Local VL on Dell</t>
        </is>
      </c>
      <c r="U7" s="13" t="inlineStr">
        <is>
          <t>2026-06-07</t>
        </is>
      </c>
    </row>
    <row r="8">
      <c r="A8" s="13" t="inlineStr">
        <is>
          <t>nuextract</t>
        </is>
      </c>
      <c r="B8" s="13" t="inlineStr">
        <is>
          <t>NuExtract (local)</t>
        </is>
      </c>
      <c r="C8" s="13" t="inlineStr">
        <is>
          <t>NuMind</t>
        </is>
      </c>
      <c r="D8" s="13" t="inlineStr">
        <is>
          <t>Current</t>
        </is>
      </c>
      <c r="E8" s="13" t="inlineStr">
        <is>
          <t>Ollama (local)</t>
        </is>
      </c>
      <c r="F8" s="13" t="inlineStr">
        <is>
          <t>Local</t>
        </is>
      </c>
      <c r="G8" s="13" t="inlineStr">
        <is>
          <t>Running (free)</t>
        </is>
      </c>
      <c r="H8" s="13" t="inlineStr">
        <is>
          <t>local_free</t>
        </is>
      </c>
      <c r="I8" s="13" t="inlineStr">
        <is>
          <t>Yes</t>
        </is>
      </c>
      <c r="J8" s="13" t="n">
        <v>6.5</v>
      </c>
      <c r="K8" s="13" t="n">
        <v>6</v>
      </c>
      <c r="L8" s="13" t="n">
        <v>5.5</v>
      </c>
      <c r="M8" s="13" t="n">
        <v>8.4</v>
      </c>
      <c r="N8" s="13" t="n">
        <v>8</v>
      </c>
      <c r="O8" s="13" t="n">
        <v>9.6</v>
      </c>
      <c r="P8" s="13">
        <f>IFERROR(ROUND(AVERAGE(J8:O8),1),"")</f>
        <v/>
      </c>
      <c r="Q8" s="13" t="inlineStr">
        <is>
          <t>structured extraction</t>
        </is>
      </c>
      <c r="R8" s="13" t="inlineStr">
        <is>
          <t>local</t>
        </is>
      </c>
      <c r="S8" s="16" t="inlineStr">
        <is>
          <t>L</t>
        </is>
      </c>
      <c r="T8" s="13" t="inlineStr">
        <is>
          <t>Local structured extraction</t>
        </is>
      </c>
      <c r="U8" s="13" t="inlineStr">
        <is>
          <t>2026-06-07</t>
        </is>
      </c>
    </row>
    <row r="9">
      <c r="A9" s="13" t="inlineStr">
        <is>
          <t>twelvelabs.pegasus-1-v1:0</t>
        </is>
      </c>
      <c r="B9" s="13" t="inlineStr">
        <is>
          <t>TwelveLabs Pegasus 1</t>
        </is>
      </c>
      <c r="C9" s="13" t="inlineStr">
        <is>
          <t>TwelveLabs</t>
        </is>
      </c>
      <c r="D9" s="13" t="inlineStr">
        <is>
          <t>Current</t>
        </is>
      </c>
      <c r="E9" s="13" t="inlineStr">
        <is>
          <t>Amazon Bedrock (Kiro)</t>
        </is>
      </c>
      <c r="F9" s="13" t="inlineStr">
        <is>
          <t>Aggregator</t>
        </is>
      </c>
      <c r="G9" s="13" t="inlineStr">
        <is>
          <t>Installed; login unverified</t>
        </is>
      </c>
      <c r="H9" s="13" t="inlineStr">
        <is>
          <t>metered (not configured)</t>
        </is>
      </c>
      <c r="I9" s="13" t="inlineStr">
        <is>
          <t>No</t>
        </is>
      </c>
      <c r="J9" s="13" t="inlineStr"/>
      <c r="K9" s="13" t="n">
        <v>8.199999999999999</v>
      </c>
      <c r="L9" s="13" t="n">
        <v>7.5</v>
      </c>
      <c r="M9" s="13" t="n">
        <v>7.8</v>
      </c>
      <c r="N9" s="13" t="n">
        <v>7</v>
      </c>
      <c r="O9" s="13" t="n">
        <v>6.5</v>
      </c>
      <c r="P9" s="13">
        <f>IFERROR(ROUND(AVERAGE(J9:O9),1),"")</f>
        <v/>
      </c>
      <c r="Q9" s="13" t="inlineStr">
        <is>
          <t>video understanding</t>
        </is>
      </c>
      <c r="R9" s="13" t="inlineStr"/>
      <c r="S9" s="16" t="inlineStr">
        <is>
          <t>L</t>
        </is>
      </c>
      <c r="T9" s="13" t="inlineStr">
        <is>
          <t>Bedrock video understanding</t>
        </is>
      </c>
      <c r="U9" s="13" t="inlineStr">
        <is>
          <t>2026-06-07</t>
        </is>
      </c>
    </row>
  </sheetData>
  <mergeCells count="1">
    <mergeCell ref="J1:O1"/>
  </mergeCells>
  <conditionalFormatting sqref="J3:J9">
    <cfRule type="colorScale" priority="1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K3:K9">
    <cfRule type="colorScale" priority="2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L3:L9">
    <cfRule type="colorScale" priority="3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M3:M9">
    <cfRule type="colorScale" priority="4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N3:N9">
    <cfRule type="colorScale" priority="5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O3:O9">
    <cfRule type="colorScale" priority="6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P3:P9">
    <cfRule type="colorScale" priority="7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6" customWidth="1" min="2" max="2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40" customWidth="1" min="18" max="18"/>
  </cols>
  <sheetData>
    <row r="1">
      <c r="J1" s="17" t="inlineStr">
        <is>
          <t>Quality Stats (0-10)</t>
        </is>
      </c>
    </row>
    <row r="2" ht="42" customHeight="1">
      <c r="A2" s="12" t="inlineStr">
        <is>
          <t>Model ID</t>
        </is>
      </c>
      <c r="B2" s="12" t="inlineStr">
        <is>
          <t>Model Name</t>
        </is>
      </c>
      <c r="C2" s="12" t="inlineStr">
        <is>
          <t>Provider</t>
        </is>
      </c>
      <c r="D2" s="12" t="inlineStr">
        <is>
          <t>Status</t>
        </is>
      </c>
      <c r="E2" s="12" t="inlineStr">
        <is>
          <t>Routing Surface</t>
        </is>
      </c>
      <c r="F2" s="12" t="inlineStr">
        <is>
          <t>Surface Type</t>
        </is>
      </c>
      <c r="G2" s="12" t="inlineStr">
        <is>
          <t>Auth on Dell</t>
        </is>
      </c>
      <c r="H2" s="12" t="inlineStr">
        <is>
          <t>Billing Class</t>
        </is>
      </c>
      <c r="I2" s="12" t="inlineStr">
        <is>
          <t>Runs Local</t>
        </is>
      </c>
      <c r="J2" s="12" t="inlineStr">
        <is>
          <t>Accuracy</t>
        </is>
      </c>
      <c r="K2" s="12" t="inlineStr">
        <is>
          <t>Coverage (text/img)</t>
        </is>
      </c>
      <c r="L2" s="12" t="inlineStr">
        <is>
          <t>Latency</t>
        </is>
      </c>
      <c r="M2" s="12" t="inlineStr">
        <is>
          <t>Cost-Efficiency</t>
        </is>
      </c>
      <c r="N2" s="12" t="inlineStr">
        <is>
          <t>OVERALL ★</t>
        </is>
      </c>
      <c r="O2" s="12" t="inlineStr">
        <is>
          <t>Coverage</t>
        </is>
      </c>
      <c r="P2" s="12" t="inlineStr">
        <is>
          <t>Notes</t>
        </is>
      </c>
      <c r="Q2" s="12" t="inlineStr">
        <is>
          <t>Confidence</t>
        </is>
      </c>
      <c r="R2" s="12" t="inlineStr">
        <is>
          <t>Sources</t>
        </is>
      </c>
      <c r="S2" s="12" t="inlineStr">
        <is>
          <t>Last Verified</t>
        </is>
      </c>
    </row>
    <row r="3">
      <c r="A3" s="13" t="inlineStr">
        <is>
          <t>omni-moderation-latest</t>
        </is>
      </c>
      <c r="B3" s="13" t="inlineStr">
        <is>
          <t>Omni Moderation</t>
        </is>
      </c>
      <c r="C3" s="13" t="inlineStr">
        <is>
          <t>OpenAI</t>
        </is>
      </c>
      <c r="D3" s="13" t="inlineStr">
        <is>
          <t>Current</t>
        </is>
      </c>
      <c r="E3" s="13" t="inlineStr">
        <is>
          <t>OpenAI API</t>
        </is>
      </c>
      <c r="F3" s="13" t="inlineStr">
        <is>
          <t>HTTP API</t>
        </is>
      </c>
      <c r="G3" s="13" t="inlineStr">
        <is>
          <t>No standalone key</t>
        </is>
      </c>
      <c r="H3" s="13" t="inlineStr">
        <is>
          <t>metered (not configured)</t>
        </is>
      </c>
      <c r="I3" s="13" t="inlineStr">
        <is>
          <t>No</t>
        </is>
      </c>
      <c r="J3" s="13" t="n">
        <v>8.4</v>
      </c>
      <c r="K3" s="13" t="n">
        <v>9</v>
      </c>
      <c r="L3" s="13" t="n">
        <v>9</v>
      </c>
      <c r="M3" s="13" t="n">
        <v>9.5</v>
      </c>
      <c r="N3" s="13">
        <f>IFERROR(ROUND(AVERAGE(J3:M3),1),"")</f>
        <v/>
      </c>
      <c r="O3" s="13" t="inlineStr">
        <is>
          <t>text+image</t>
        </is>
      </c>
      <c r="P3" s="13" t="inlineStr"/>
      <c r="Q3" s="15" t="inlineStr">
        <is>
          <t>M</t>
        </is>
      </c>
      <c r="R3" s="13" t="inlineStr">
        <is>
          <t>OpenAI omni moderation (free)</t>
        </is>
      </c>
      <c r="S3" s="13" t="inlineStr">
        <is>
          <t>2026-06-07</t>
        </is>
      </c>
    </row>
    <row r="4">
      <c r="A4" s="13" t="inlineStr">
        <is>
          <t>mistral-moderation-26-03</t>
        </is>
      </c>
      <c r="B4" s="13" t="inlineStr">
        <is>
          <t>Mistral Moderation</t>
        </is>
      </c>
      <c r="C4" s="13" t="inlineStr">
        <is>
          <t>Mistral</t>
        </is>
      </c>
      <c r="D4" s="13" t="inlineStr">
        <is>
          <t>Current</t>
        </is>
      </c>
      <c r="E4" s="13" t="inlineStr">
        <is>
          <t>Mistral API</t>
        </is>
      </c>
      <c r="F4" s="13" t="inlineStr">
        <is>
          <t>HTTP API</t>
        </is>
      </c>
      <c r="G4" s="13" t="inlineStr">
        <is>
          <t>Not-keyed</t>
        </is>
      </c>
      <c r="H4" s="13" t="inlineStr">
        <is>
          <t>metered (not configured)</t>
        </is>
      </c>
      <c r="I4" s="13" t="inlineStr">
        <is>
          <t>No</t>
        </is>
      </c>
      <c r="J4" s="13" t="n">
        <v>8</v>
      </c>
      <c r="K4" s="13" t="n">
        <v>7</v>
      </c>
      <c r="L4" s="13" t="n">
        <v>8.800000000000001</v>
      </c>
      <c r="M4" s="13" t="n">
        <v>9</v>
      </c>
      <c r="N4" s="13">
        <f>IFERROR(ROUND(AVERAGE(J4:M4),1),"")</f>
        <v/>
      </c>
      <c r="O4" s="13" t="inlineStr">
        <is>
          <t>text</t>
        </is>
      </c>
      <c r="P4" s="13" t="inlineStr"/>
      <c r="Q4" s="16" t="inlineStr">
        <is>
          <t>L</t>
        </is>
      </c>
      <c r="R4" s="13" t="inlineStr">
        <is>
          <t>Mistral moderation</t>
        </is>
      </c>
      <c r="S4" s="13" t="inlineStr">
        <is>
          <t>2026-06-07</t>
        </is>
      </c>
    </row>
  </sheetData>
  <mergeCells count="1">
    <mergeCell ref="J1:M1"/>
  </mergeCells>
  <conditionalFormatting sqref="J3:J4">
    <cfRule type="colorScale" priority="1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K3:K4">
    <cfRule type="colorScale" priority="2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L3:L4">
    <cfRule type="colorScale" priority="3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M3:M4">
    <cfRule type="colorScale" priority="4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N3:N4">
    <cfRule type="colorScale" priority="5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30" customWidth="1" min="3" max="3"/>
    <col width="26" customWidth="1" min="4" max="4"/>
    <col width="11" customWidth="1" min="5" max="5"/>
    <col width="60" customWidth="1" min="6" max="6"/>
  </cols>
  <sheetData>
    <row r="1">
      <c r="A1" s="12" t="inlineStr">
        <is>
          <t>Surface</t>
        </is>
      </c>
      <c r="B1" s="12" t="inlineStr">
        <is>
          <t>Type</t>
        </is>
      </c>
      <c r="C1" s="12" t="inlineStr">
        <is>
          <t>Auth on Dell (2026-06-06)</t>
        </is>
      </c>
      <c r="D1" s="12" t="inlineStr">
        <is>
          <t>Billing Class</t>
        </is>
      </c>
      <c r="E1" s="12" t="inlineStr">
        <is>
          <t>Runs Local</t>
        </is>
      </c>
      <c r="F1" s="12" t="inlineStr">
        <is>
          <t>Routing Notes</t>
        </is>
      </c>
    </row>
    <row r="2">
      <c r="A2" s="18" t="inlineStr">
        <is>
          <t>Claude Code CLI</t>
        </is>
      </c>
      <c r="B2" s="18" t="inlineStr">
        <is>
          <t>CLI</t>
        </is>
      </c>
      <c r="C2" s="18" t="inlineStr">
        <is>
          <t>Working</t>
        </is>
      </c>
      <c r="D2" s="18" t="inlineStr">
        <is>
          <t>subscription_included</t>
        </is>
      </c>
      <c r="E2" s="18" t="inlineStr">
        <is>
          <t>No</t>
        </is>
      </c>
      <c r="F2" s="18" t="inlineStr">
        <is>
          <t>Primary high-stakes coding/analysis adapter (subprocess). Shared Anthropic pool.</t>
        </is>
      </c>
    </row>
    <row r="3">
      <c r="A3" s="18" t="inlineStr">
        <is>
          <t>Claude Desktop/Cowork</t>
        </is>
      </c>
      <c r="B3" s="18" t="inlineStr">
        <is>
          <t>Desktop app</t>
        </is>
      </c>
      <c r="C3" s="18" t="inlineStr">
        <is>
          <t>Working (this session)</t>
        </is>
      </c>
      <c r="D3" s="18" t="inlineStr">
        <is>
          <t>subscription_included</t>
        </is>
      </c>
      <c r="E3" s="18" t="inlineStr">
        <is>
          <t>No</t>
        </is>
      </c>
      <c r="F3" s="18" t="inlineStr">
        <is>
          <t>This Cowork session. Skills + connectors.</t>
        </is>
      </c>
    </row>
    <row r="4">
      <c r="A4" s="18" t="inlineStr">
        <is>
          <t>Anthropic API</t>
        </is>
      </c>
      <c r="B4" s="18" t="inlineStr">
        <is>
          <t>HTTP API</t>
        </is>
      </c>
      <c r="C4" s="18" t="inlineStr">
        <is>
          <t>Working (Claude plan)</t>
        </is>
      </c>
      <c r="D4" s="18" t="inlineStr">
        <is>
          <t>subscription_included</t>
        </is>
      </c>
      <c r="E4" s="18" t="inlineStr">
        <is>
          <t>No</t>
        </is>
      </c>
      <c r="F4" s="18" t="inlineStr">
        <is>
          <t>Subscription via Claude plan; no metered key.</t>
        </is>
      </c>
    </row>
    <row r="5">
      <c r="A5" s="18" t="inlineStr">
        <is>
          <t>Codex CLI</t>
        </is>
      </c>
      <c r="B5" s="18" t="inlineStr">
        <is>
          <t>CLI</t>
        </is>
      </c>
      <c r="C5" s="18" t="inlineStr">
        <is>
          <t>Working (ChatGPT plan)</t>
        </is>
      </c>
      <c r="D5" s="18" t="inlineStr">
        <is>
          <t>subscription_included</t>
        </is>
      </c>
      <c r="E5" s="18" t="inlineStr">
        <is>
          <t>No</t>
        </is>
      </c>
      <c r="F5" s="18" t="inlineStr">
        <is>
          <t>ChatGPT-plan OAuth; default gpt-5.5 reasoning=high. No metered key.</t>
        </is>
      </c>
    </row>
    <row r="6">
      <c r="A6" s="18" t="inlineStr">
        <is>
          <t>GitHub Copilot CLI</t>
        </is>
      </c>
      <c r="B6" s="18" t="inlineStr">
        <is>
          <t>CLI</t>
        </is>
      </c>
      <c r="C6" s="18" t="inlineStr">
        <is>
          <t>Working (premium req)</t>
        </is>
      </c>
      <c r="D6" s="18" t="inlineStr">
        <is>
          <t>subscription_included</t>
        </is>
      </c>
      <c r="E6" s="18" t="inlineStr">
        <is>
          <t>No</t>
        </is>
      </c>
      <c r="F6" s="18" t="inlineStr">
        <is>
          <t>GitHub premium-requests; default claude-haiku-4.5; --model switch.</t>
        </is>
      </c>
    </row>
    <row r="7">
      <c r="A7" s="18" t="inlineStr">
        <is>
          <t>GitHub Models (AI Toolkit)</t>
        </is>
      </c>
      <c r="B7" s="18" t="inlineStr">
        <is>
          <t>Aggregator</t>
        </is>
      </c>
      <c r="C7" s="18" t="inlineStr">
        <is>
          <t>Configured</t>
        </is>
      </c>
      <c r="D7" s="18" t="inlineStr">
        <is>
          <t>subscription_included</t>
        </is>
      </c>
      <c r="E7" s="18" t="inlineStr">
        <is>
          <t>No</t>
        </is>
      </c>
      <c r="F7" s="18" t="inlineStr">
        <is>
          <t>AI Toolkit; gpt-5/gpt-4.1/DeepSeek-R1 configured; encrypted keys.</t>
        </is>
      </c>
    </row>
    <row r="8">
      <c r="A8" s="18" t="inlineStr">
        <is>
          <t>Gemini CLI</t>
        </is>
      </c>
      <c r="B8" s="18" t="inlineStr">
        <is>
          <t>CLI</t>
        </is>
      </c>
      <c r="C8" s="18" t="inlineStr">
        <is>
          <t>Working (re-authed)</t>
        </is>
      </c>
      <c r="D8" s="18" t="inlineStr">
        <is>
          <t>subscription_included</t>
        </is>
      </c>
      <c r="E8" s="18" t="inlineStr">
        <is>
          <t>No</t>
        </is>
      </c>
      <c r="F8" s="18" t="inlineStr">
        <is>
          <t>Google OAuth re-authed 2026-06-06; free Code Assist tier.</t>
        </is>
      </c>
    </row>
    <row r="9">
      <c r="A9" s="18" t="inlineStr">
        <is>
          <t>Google Gemini API</t>
        </is>
      </c>
      <c r="B9" s="18" t="inlineStr">
        <is>
          <t>HTTP API</t>
        </is>
      </c>
      <c r="C9" s="18" t="inlineStr">
        <is>
          <t>Working (re-authed)</t>
        </is>
      </c>
      <c r="D9" s="18" t="inlineStr">
        <is>
          <t>subscription_included</t>
        </is>
      </c>
      <c r="E9" s="18" t="inlineStr">
        <is>
          <t>No</t>
        </is>
      </c>
      <c r="F9" s="18" t="inlineStr">
        <is>
          <t>Same Google auth; multimodal.</t>
        </is>
      </c>
    </row>
    <row r="10">
      <c r="A10" s="18" t="inlineStr">
        <is>
          <t>Google Antigravity</t>
        </is>
      </c>
      <c r="B10" s="18" t="inlineStr">
        <is>
          <t>IDE app</t>
        </is>
      </c>
      <c r="C10" s="18" t="inlineStr">
        <is>
          <t>Installed</t>
        </is>
      </c>
      <c r="D10" s="18" t="inlineStr">
        <is>
          <t>subscription_included</t>
        </is>
      </c>
      <c r="E10" s="18" t="inlineStr">
        <is>
          <t>No</t>
        </is>
      </c>
      <c r="F10" s="18" t="inlineStr">
        <is>
          <t>Free agent platform; compute-budget refresh ~5h; Gemini+Claude+GPT-OSS.</t>
        </is>
      </c>
    </row>
    <row r="11">
      <c r="A11" s="18" t="inlineStr">
        <is>
          <t>Amazon Bedrock (Kiro)</t>
        </is>
      </c>
      <c r="B11" s="18" t="inlineStr">
        <is>
          <t>Aggregator</t>
        </is>
      </c>
      <c r="C11" s="18" t="inlineStr">
        <is>
          <t>Installed; login unverified</t>
        </is>
      </c>
      <c r="D11" s="18" t="inlineStr">
        <is>
          <t>metered (not configured)</t>
        </is>
      </c>
      <c r="E11" s="18" t="inlineStr">
        <is>
          <t>No</t>
        </is>
      </c>
      <c r="F11" s="18" t="inlineStr">
        <is>
          <t>AWS Kiro -&gt; Bedrock; Claude Sonnet 4.5 primary; login not on disk.</t>
        </is>
      </c>
    </row>
    <row r="12">
      <c r="A12" s="18" t="inlineStr">
        <is>
          <t>Azure AI Foundry</t>
        </is>
      </c>
      <c r="B12" s="18" t="inlineStr">
        <is>
          <t>Aggregator</t>
        </is>
      </c>
      <c r="C12" s="18" t="inlineStr">
        <is>
          <t>Not credentialed</t>
        </is>
      </c>
      <c r="D12" s="18" t="inlineStr">
        <is>
          <t>metered (not configured)</t>
        </is>
      </c>
      <c r="E12" s="18" t="inlineStr">
        <is>
          <t>No</t>
        </is>
      </c>
      <c r="F12" s="18" t="inlineStr">
        <is>
          <t>AI Foundry installed, NOT credentialed; unusable until Azure sign-in.</t>
        </is>
      </c>
    </row>
    <row r="13">
      <c r="A13" s="18" t="inlineStr">
        <is>
          <t>Ollama (local)</t>
        </is>
      </c>
      <c r="B13" s="18" t="inlineStr">
        <is>
          <t>Local</t>
        </is>
      </c>
      <c r="C13" s="18" t="inlineStr">
        <is>
          <t>Running (free)</t>
        </is>
      </c>
      <c r="D13" s="18" t="inlineStr">
        <is>
          <t>local_free</t>
        </is>
      </c>
      <c r="E13" s="18" t="inlineStr">
        <is>
          <t>Yes</t>
        </is>
      </c>
      <c r="F13" s="18" t="inlineStr">
        <is>
          <t>26 local Ollama tags, localhost:11434; free, hardware-bound (i7, 63.7GB RAM, MX350 2GB).</t>
        </is>
      </c>
    </row>
    <row r="14">
      <c r="A14" s="18" t="inlineStr">
        <is>
          <t>Ollama Cloud</t>
        </is>
      </c>
      <c r="B14" s="18" t="inlineStr">
        <is>
          <t>Aggregator</t>
        </is>
      </c>
      <c r="C14" s="18" t="inlineStr">
        <is>
          <t>Keyed + usage-tracked</t>
        </is>
      </c>
      <c r="D14" s="18" t="inlineStr">
        <is>
          <t>metered (tracked)</t>
        </is>
      </c>
      <c r="E14" s="18" t="inlineStr">
        <is>
          <t>No</t>
        </is>
      </c>
      <c r="F14" s="18" t="inlineStr">
        <is>
          <t>Keyed (OLLAMA_API_KEY) + usage tracker proxy :11435; glm/minimax/qwen-coder.</t>
        </is>
      </c>
    </row>
    <row r="15">
      <c r="A15" s="18" t="inlineStr">
        <is>
          <t>Groq</t>
        </is>
      </c>
      <c r="B15" s="18" t="inlineStr">
        <is>
          <t>Aggregator</t>
        </is>
      </c>
      <c r="C15" s="18" t="inlineStr">
        <is>
          <t>Not-keyed</t>
        </is>
      </c>
      <c r="D15" s="18" t="inlineStr">
        <is>
          <t>metered (not configured)</t>
        </is>
      </c>
      <c r="E15" s="18" t="inlineStr">
        <is>
          <t>No</t>
        </is>
      </c>
      <c r="F15" s="18" t="inlineStr">
        <is>
          <t>Ultra-fast inference; NO key on disk (reachable if keyed).</t>
        </is>
      </c>
    </row>
    <row r="16">
      <c r="A16" s="18" t="inlineStr">
        <is>
          <t>Together AI</t>
        </is>
      </c>
      <c r="B16" s="18" t="inlineStr">
        <is>
          <t>Aggregator</t>
        </is>
      </c>
      <c r="C16" s="18" t="inlineStr">
        <is>
          <t>Not-keyed</t>
        </is>
      </c>
      <c r="D16" s="18" t="inlineStr">
        <is>
          <t>metered (not configured)</t>
        </is>
      </c>
      <c r="E16" s="18" t="inlineStr">
        <is>
          <t>No</t>
        </is>
      </c>
      <c r="F16" s="18" t="inlineStr">
        <is>
          <t>Broad open-model host; NO key on disk.</t>
        </is>
      </c>
    </row>
    <row r="17">
      <c r="A17" s="18" t="inlineStr">
        <is>
          <t>Fireworks AI</t>
        </is>
      </c>
      <c r="B17" s="18" t="inlineStr">
        <is>
          <t>Aggregator</t>
        </is>
      </c>
      <c r="C17" s="18" t="inlineStr">
        <is>
          <t>Not-keyed</t>
        </is>
      </c>
      <c r="D17" s="18" t="inlineStr">
        <is>
          <t>metered (not configured)</t>
        </is>
      </c>
      <c r="E17" s="18" t="inlineStr">
        <is>
          <t>No</t>
        </is>
      </c>
      <c r="F17" s="18" t="inlineStr">
        <is>
          <t>Open-model host; NO key on disk.</t>
        </is>
      </c>
    </row>
    <row r="18">
      <c r="A18" s="18" t="inlineStr">
        <is>
          <t>Perplexity API</t>
        </is>
      </c>
      <c r="B18" s="18" t="inlineStr">
        <is>
          <t>Aggregator</t>
        </is>
      </c>
      <c r="C18" s="18" t="inlineStr">
        <is>
          <t>Not-keyed</t>
        </is>
      </c>
      <c r="D18" s="18" t="inlineStr">
        <is>
          <t>metered (not configured)</t>
        </is>
      </c>
      <c r="E18" s="18" t="inlineStr">
        <is>
          <t>No</t>
        </is>
      </c>
      <c r="F18" s="18" t="inlineStr">
        <is>
          <t>Search-augmented; NO key on disk.</t>
        </is>
      </c>
    </row>
    <row r="19">
      <c r="A19" s="18" t="inlineStr">
        <is>
          <t>OpenRouter</t>
        </is>
      </c>
      <c r="B19" s="18" t="inlineStr">
        <is>
          <t>Aggregator</t>
        </is>
      </c>
      <c r="C19" s="18" t="inlineStr">
        <is>
          <t>Not-keyed</t>
        </is>
      </c>
      <c r="D19" s="18" t="inlineStr">
        <is>
          <t>metered (not configured)</t>
        </is>
      </c>
      <c r="E19" s="18" t="inlineStr">
        <is>
          <t>No</t>
        </is>
      </c>
      <c r="F19" s="18" t="inlineStr">
        <is>
          <t>300+ models single key; NO key on disk.</t>
        </is>
      </c>
    </row>
    <row r="20">
      <c r="A20" s="18" t="inlineStr">
        <is>
          <t>xAI API</t>
        </is>
      </c>
      <c r="B20" s="18" t="inlineStr">
        <is>
          <t>HTTP API</t>
        </is>
      </c>
      <c r="C20" s="18" t="inlineStr">
        <is>
          <t>Not-keyed</t>
        </is>
      </c>
      <c r="D20" s="18" t="inlineStr">
        <is>
          <t>metered (not configured)</t>
        </is>
      </c>
      <c r="E20" s="18" t="inlineStr">
        <is>
          <t>No</t>
        </is>
      </c>
      <c r="F20" s="18" t="inlineStr">
        <is>
          <t>Grok; NO key on disk.</t>
        </is>
      </c>
    </row>
    <row r="21">
      <c r="A21" s="18" t="inlineStr">
        <is>
          <t>Mistral API</t>
        </is>
      </c>
      <c r="B21" s="18" t="inlineStr">
        <is>
          <t>HTTP API</t>
        </is>
      </c>
      <c r="C21" s="18" t="inlineStr">
        <is>
          <t>Not-keyed</t>
        </is>
      </c>
      <c r="D21" s="18" t="inlineStr">
        <is>
          <t>metered (not configured)</t>
        </is>
      </c>
      <c r="E21" s="18" t="inlineStr">
        <is>
          <t>No</t>
        </is>
      </c>
      <c r="F21" s="18" t="inlineStr">
        <is>
          <t>NO key on disk.</t>
        </is>
      </c>
    </row>
    <row r="22">
      <c r="A22" s="18" t="inlineStr">
        <is>
          <t>DeepSeek API</t>
        </is>
      </c>
      <c r="B22" s="18" t="inlineStr">
        <is>
          <t>HTTP API</t>
        </is>
      </c>
      <c r="C22" s="18" t="inlineStr">
        <is>
          <t>Not-keyed</t>
        </is>
      </c>
      <c r="D22" s="18" t="inlineStr">
        <is>
          <t>metered (not configured)</t>
        </is>
      </c>
      <c r="E22" s="18" t="inlineStr">
        <is>
          <t>No</t>
        </is>
      </c>
      <c r="F22" s="18" t="inlineStr">
        <is>
          <t>NO key on disk.</t>
        </is>
      </c>
    </row>
    <row r="23">
      <c r="A23" s="18" t="inlineStr">
        <is>
          <t>Cohere API</t>
        </is>
      </c>
      <c r="B23" s="18" t="inlineStr">
        <is>
          <t>HTTP API</t>
        </is>
      </c>
      <c r="C23" s="18" t="inlineStr">
        <is>
          <t>Not-keyed</t>
        </is>
      </c>
      <c r="D23" s="18" t="inlineStr">
        <is>
          <t>metered (not configured)</t>
        </is>
      </c>
      <c r="E23" s="18" t="inlineStr">
        <is>
          <t>No</t>
        </is>
      </c>
      <c r="F23" s="18" t="inlineStr">
        <is>
          <t>NO key on disk.</t>
        </is>
      </c>
    </row>
    <row r="24">
      <c r="A24" s="18" t="inlineStr">
        <is>
          <t>Alibaba DashScope</t>
        </is>
      </c>
      <c r="B24" s="18" t="inlineStr">
        <is>
          <t>HTTP API</t>
        </is>
      </c>
      <c r="C24" s="18" t="inlineStr">
        <is>
          <t>Not-keyed</t>
        </is>
      </c>
      <c r="D24" s="18" t="inlineStr">
        <is>
          <t>metered (not configured)</t>
        </is>
      </c>
      <c r="E24" s="18" t="inlineStr">
        <is>
          <t>No</t>
        </is>
      </c>
      <c r="F24" s="18" t="inlineStr">
        <is>
          <t>DashScope; NO key on disk.</t>
        </is>
      </c>
    </row>
    <row r="25">
      <c r="A25" s="18" t="inlineStr">
        <is>
          <t>OpenAI API</t>
        </is>
      </c>
      <c r="B25" s="18" t="inlineStr">
        <is>
          <t>HTTP API</t>
        </is>
      </c>
      <c r="C25" s="18" t="inlineStr">
        <is>
          <t>No standalone key</t>
        </is>
      </c>
      <c r="D25" s="18" t="inlineStr">
        <is>
          <t>metered (not configured)</t>
        </is>
      </c>
      <c r="E25" s="18" t="inlineStr">
        <is>
          <t>No</t>
        </is>
      </c>
      <c r="F25" s="18" t="inlineStr">
        <is>
          <t>No standalone OpenAI key (Codex uses ChatGPT plan instead).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46" customWidth="1" min="4" max="4"/>
    <col width="34" customWidth="1" min="5" max="5"/>
    <col width="40" customWidth="1" min="6" max="6"/>
  </cols>
  <sheetData>
    <row r="1">
      <c r="A1" s="19" t="inlineStr">
        <is>
          <t>SOURCE CATALOG &amp; CREDIBILITY WEIGHTS - what drives the ratings (verify, do not trust)</t>
        </is>
      </c>
    </row>
    <row r="2">
      <c r="A2" s="12" t="inlineStr">
        <is>
          <t>Source Type</t>
        </is>
      </c>
      <c r="B2" s="12" t="inlineStr">
        <is>
          <t>Source</t>
        </is>
      </c>
      <c r="C2" s="12" t="inlineStr">
        <is>
          <t>URL / Location</t>
        </is>
      </c>
      <c r="D2" s="12" t="inlineStr">
        <is>
          <t>Governs</t>
        </is>
      </c>
      <c r="E2" s="12" t="inlineStr">
        <is>
          <t>Weight / Trust Rule</t>
        </is>
      </c>
      <c r="F2" s="12" t="inlineStr">
        <is>
          <t>Roster Use</t>
        </is>
      </c>
    </row>
    <row r="3">
      <c r="A3" s="18" t="inlineStr">
        <is>
          <t>Provider specs</t>
        </is>
      </c>
      <c r="B3" s="18" t="inlineStr">
        <is>
          <t>OpenAI model docs</t>
        </is>
      </c>
      <c r="C3" s="18" t="inlineStr">
        <is>
          <t>developers.openai.com/api/docs/models</t>
        </is>
      </c>
      <c r="D3" s="18" t="inlineStr">
        <is>
          <t>OpenAI IDs, context, max output, pricing, modalities, tool support</t>
        </is>
      </c>
      <c r="E3" s="18" t="inlineStr">
        <is>
          <t>5 - authoritative for OpenAI attributes</t>
        </is>
      </c>
      <c r="F3" s="18" t="inlineStr">
        <is>
          <t>OpenAI rows and image/audio/current status</t>
        </is>
      </c>
    </row>
    <row r="4">
      <c r="A4" s="18" t="inlineStr">
        <is>
          <t>Provider specs</t>
        </is>
      </c>
      <c r="B4" s="18" t="inlineStr">
        <is>
          <t>Anthropic models overview</t>
        </is>
      </c>
      <c r="C4" s="18" t="inlineStr">
        <is>
          <t>platform.claude.com/docs/.../models/overview</t>
        </is>
      </c>
      <c r="D4" s="18" t="inlineStr">
        <is>
          <t>Claude current model IDs, context, pricing, max output, cloud surfaces</t>
        </is>
      </c>
      <c r="E4" s="18" t="inlineStr">
        <is>
          <t>5 - authoritative for Claude attributes</t>
        </is>
      </c>
      <c r="F4" s="18" t="inlineStr">
        <is>
          <t>Claude rows and Bedrock/Vertex/Foundry availability</t>
        </is>
      </c>
    </row>
    <row r="5">
      <c r="A5" s="18" t="inlineStr">
        <is>
          <t>Provider specs</t>
        </is>
      </c>
      <c r="B5" s="18" t="inlineStr">
        <is>
          <t>Google Gemini model cards</t>
        </is>
      </c>
      <c r="C5" s="18" t="inlineStr">
        <is>
          <t>ai.google.dev/gemini-api/docs/models</t>
        </is>
      </c>
      <c r="D5" s="18" t="inlineStr">
        <is>
          <t>Gemini text/image/video/audio/embedding IDs, limits, status, last update</t>
        </is>
      </c>
      <c r="E5" s="18" t="inlineStr">
        <is>
          <t>5 - authoritative for Gemini attributes</t>
        </is>
      </c>
      <c r="F5" s="18" t="inlineStr">
        <is>
          <t>Gemini/Gemini image/Veo/Lyria/audio/embedding rows</t>
        </is>
      </c>
    </row>
    <row r="6">
      <c r="A6" s="18" t="inlineStr">
        <is>
          <t>Provider specs</t>
        </is>
      </c>
      <c r="B6" s="18" t="inlineStr">
        <is>
          <t>Google Gemma 4 model card</t>
        </is>
      </c>
      <c r="C6" s="18" t="inlineStr">
        <is>
          <t>ai.google.dev/gemma/docs/core/model_card_4</t>
        </is>
      </c>
      <c r="D6" s="18" t="inlineStr">
        <is>
          <t>Gemma 4 12B/E2B/E4B/26B/31B parameters, context, modalities, official benchmark table</t>
        </is>
      </c>
      <c r="E6" s="18" t="inlineStr">
        <is>
          <t>5 - authoritative for Gemma family attributes</t>
        </is>
      </c>
      <c r="F6" s="18" t="inlineStr">
        <is>
          <t>Gemma 4 local rows and rating anchors</t>
        </is>
      </c>
    </row>
    <row r="7">
      <c r="A7" s="18" t="inlineStr">
        <is>
          <t>Provider specs</t>
        </is>
      </c>
      <c r="B7" s="18" t="inlineStr">
        <is>
          <t>Ollama Gemma 4 tags</t>
        </is>
      </c>
      <c r="C7" s="18" t="inlineStr">
        <is>
          <t>ollama.com/library/gemma4/tags</t>
        </is>
      </c>
      <c r="D7" s="18" t="inlineStr">
        <is>
          <t>Ollama tag names, QAT availability, local artifact size, context, supported Ollama input modalities</t>
        </is>
      </c>
      <c r="E7" s="18" t="inlineStr">
        <is>
          <t>5 - authoritative for Ollama local tag facts</t>
        </is>
      </c>
      <c r="F7" s="18" t="inlineStr">
        <is>
          <t>Gemma 4 local tag IDs and install targets</t>
        </is>
      </c>
    </row>
    <row r="8">
      <c r="A8" s="18" t="inlineStr">
        <is>
          <t>Provider specs</t>
        </is>
      </c>
      <c r="B8" s="18" t="inlineStr">
        <is>
          <t>xAI model docs</t>
        </is>
      </c>
      <c r="C8" s="18" t="inlineStr">
        <is>
          <t>docs.x.ai/developers/models</t>
        </is>
      </c>
      <c r="D8" s="18" t="inlineStr">
        <is>
          <t>Grok chat/coding/image/video/voice model families and alias rules</t>
        </is>
      </c>
      <c r="E8" s="18" t="inlineStr">
        <is>
          <t>5 - authoritative for xAI attributes</t>
        </is>
      </c>
      <c r="F8" s="18" t="inlineStr">
        <is>
          <t>Grok rows and status</t>
        </is>
      </c>
    </row>
    <row r="9">
      <c r="A9" s="18" t="inlineStr">
        <is>
          <t>Provider specs</t>
        </is>
      </c>
      <c r="B9" s="18" t="inlineStr">
        <is>
          <t>DeepSeek API docs/changelog</t>
        </is>
      </c>
      <c r="C9" s="18" t="inlineStr">
        <is>
          <t>api-docs.deepseek.com</t>
        </is>
      </c>
      <c r="D9" s="18" t="inlineStr">
        <is>
          <t>DeepSeek V4 Pro/Flash IDs and legacy alias retirement</t>
        </is>
      </c>
      <c r="E9" s="18" t="inlineStr">
        <is>
          <t>5 - authoritative for DeepSeek attributes</t>
        </is>
      </c>
      <c r="F9" s="18" t="inlineStr">
        <is>
          <t>DeepSeek rows and alias notes</t>
        </is>
      </c>
    </row>
    <row r="10">
      <c r="A10" s="18" t="inlineStr">
        <is>
          <t>Provider specs</t>
        </is>
      </c>
      <c r="B10" s="18" t="inlineStr">
        <is>
          <t>Mistral model overview</t>
        </is>
      </c>
      <c r="C10" s="18" t="inlineStr">
        <is>
          <t>docs.mistral.ai/models/overview</t>
        </is>
      </c>
      <c r="D10" s="18" t="inlineStr">
        <is>
          <t>Mistral Medium/Small/Devstral/OCR/Voxtral/Codestral/Moderation models</t>
        </is>
      </c>
      <c r="E10" s="18" t="inlineStr">
        <is>
          <t>5 - authoritative for Mistral attributes</t>
        </is>
      </c>
      <c r="F10" s="18" t="inlineStr">
        <is>
          <t>Mistral rows across LLM/audio/OCR/moderation</t>
        </is>
      </c>
    </row>
    <row r="11">
      <c r="A11" s="18" t="inlineStr">
        <is>
          <t>Provider specs</t>
        </is>
      </c>
      <c r="B11" s="18" t="inlineStr">
        <is>
          <t>Cohere model overview</t>
        </is>
      </c>
      <c r="C11" s="18" t="inlineStr">
        <is>
          <t>docs.cohere.com/v2/docs/models</t>
        </is>
      </c>
      <c r="D11" s="18" t="inlineStr">
        <is>
          <t>Command A+, Command A Vision, Embed, Rerank, Transcribe families</t>
        </is>
      </c>
      <c r="E11" s="18" t="inlineStr">
        <is>
          <t>5 - authoritative for Cohere attributes</t>
        </is>
      </c>
      <c r="F11" s="18" t="inlineStr">
        <is>
          <t>Cohere LLM/embed/rerank/vision rows</t>
        </is>
      </c>
    </row>
    <row r="12">
      <c r="A12" s="18" t="inlineStr">
        <is>
          <t>Provider specs</t>
        </is>
      </c>
      <c r="B12" s="18" t="inlineStr">
        <is>
          <t>Alibaba Model Studio docs</t>
        </is>
      </c>
      <c r="C12" s="18" t="inlineStr">
        <is>
          <t>help.aliyun.com/zh/model-studio</t>
        </is>
      </c>
      <c r="D12" s="18" t="inlineStr">
        <is>
          <t>Qwen3.7/Qwen3.6 recommended models, context, output, tools</t>
        </is>
      </c>
      <c r="E12" s="18" t="inlineStr">
        <is>
          <t>5 - authoritative for DashScope/Qwen API attributes</t>
        </is>
      </c>
      <c r="F12" s="18" t="inlineStr">
        <is>
          <t>Qwen cloud rows</t>
        </is>
      </c>
    </row>
    <row r="13">
      <c r="A13" s="18" t="inlineStr">
        <is>
          <t>Provider specs</t>
        </is>
      </c>
      <c r="B13" s="18" t="inlineStr">
        <is>
          <t>Meta Llama 4 launch</t>
        </is>
      </c>
      <c r="C13" s="18" t="inlineStr">
        <is>
          <t>ai.meta.com/blog/llama-4-multimodal-intelligence</t>
        </is>
      </c>
      <c r="D13" s="18" t="inlineStr">
        <is>
          <t>Llama 4 Scout/Maverick official parameters, experts, context, multimodal status</t>
        </is>
      </c>
      <c r="E13" s="18" t="inlineStr">
        <is>
          <t>5 - authoritative for Meta release facts</t>
        </is>
      </c>
      <c r="F13" s="18" t="inlineStr">
        <is>
          <t>Llama 4 rows</t>
        </is>
      </c>
    </row>
    <row r="14">
      <c r="A14" s="18" t="inlineStr">
        <is>
          <t>Provider specs</t>
        </is>
      </c>
      <c r="B14" s="18" t="inlineStr">
        <is>
          <t>Amazon Bedrock model cards</t>
        </is>
      </c>
      <c r="C14" s="18" t="inlineStr">
        <is>
          <t>docs.aws.amazon.com/bedrock/latest/userguide/model-cards.html</t>
        </is>
      </c>
      <c r="D14" s="18" t="inlineStr">
        <is>
          <t>Bedrock supported model families and IDs across providers</t>
        </is>
      </c>
      <c r="E14" s="18" t="inlineStr">
        <is>
          <t>4 - authoritative for Bedrock surface availability</t>
        </is>
      </c>
      <c r="F14" s="18" t="inlineStr">
        <is>
          <t>Surface coverage and Bedrock model rows</t>
        </is>
      </c>
    </row>
    <row r="15">
      <c r="A15" s="18" t="inlineStr">
        <is>
          <t>Provider specs</t>
        </is>
      </c>
      <c r="B15" s="18" t="inlineStr">
        <is>
          <t>Microsoft AI models</t>
        </is>
      </c>
      <c r="C15" s="18" t="inlineStr">
        <is>
          <t>microsoft.ai/models and model cards</t>
        </is>
      </c>
      <c r="D15" s="18" t="inlineStr">
        <is>
          <t>MAI Thinking, Code, Image, Transcribe, Voice model family facts</t>
        </is>
      </c>
      <c r="E15" s="18" t="inlineStr">
        <is>
          <t>5 - authoritative for Microsoft MAI attributes</t>
        </is>
      </c>
      <c r="F15" s="18" t="inlineStr">
        <is>
          <t>MAI rows; preview/private status checked before routing</t>
        </is>
      </c>
    </row>
    <row r="16">
      <c r="A16" s="18" t="inlineStr">
        <is>
          <t>Provider specs</t>
        </is>
      </c>
      <c r="B16" s="18" t="inlineStr">
        <is>
          <t>MiniMax M3 official launch</t>
        </is>
      </c>
      <c r="C16" s="18" t="inlineStr">
        <is>
          <t>minimax.io/blog/minimax-m3</t>
        </is>
      </c>
      <c r="D16" s="18" t="inlineStr">
        <is>
          <t>MiniMax M3 1M context, multimodal, agentic/coding release facts</t>
        </is>
      </c>
      <c r="E16" s="18" t="inlineStr">
        <is>
          <t>5 - authoritative for MiniMax M3 attributes</t>
        </is>
      </c>
      <c r="F16" s="18" t="inlineStr">
        <is>
          <t>MiniMax rows</t>
        </is>
      </c>
    </row>
    <row r="17">
      <c r="A17" s="18" t="inlineStr">
        <is>
          <t>Benchmark</t>
        </is>
      </c>
      <c r="B17" s="18" t="inlineStr">
        <is>
          <t>SWE-bench leaderboards</t>
        </is>
      </c>
      <c r="C17" s="18" t="inlineStr">
        <is>
          <t>swebench.com</t>
        </is>
      </c>
      <c r="D17" s="18" t="inlineStr">
        <is>
          <t>Software-engineering task benchmark signals</t>
        </is>
      </c>
      <c r="E17" s="18" t="inlineStr">
        <is>
          <t>4 - benchmark owner, but run configs matter</t>
        </is>
      </c>
      <c r="F17" s="18" t="inlineStr">
        <is>
          <t>Coding/agentic SWE routing scores</t>
        </is>
      </c>
    </row>
    <row r="18">
      <c r="A18" s="18" t="inlineStr">
        <is>
          <t>Benchmark</t>
        </is>
      </c>
      <c r="B18" s="18" t="inlineStr">
        <is>
          <t>Artificial Analysis</t>
        </is>
      </c>
      <c r="C18" s="18" t="inlineStr">
        <is>
          <t>artificialanalysis.ai</t>
        </is>
      </c>
      <c r="D18" s="18" t="inlineStr">
        <is>
          <t>Composite intelligence, price, speed, image arena and model summaries</t>
        </is>
      </c>
      <c r="E18" s="18" t="inlineStr">
        <is>
          <t>3 - independent tracker, not provider law</t>
        </is>
      </c>
      <c r="F18" s="18" t="inlineStr">
        <is>
          <t>Relative 0-10 routing estimates</t>
        </is>
      </c>
    </row>
    <row r="19">
      <c r="A19" s="18" t="inlineStr">
        <is>
          <t>Benchmark</t>
        </is>
      </c>
      <c r="B19" s="18" t="inlineStr">
        <is>
          <t>Epoch AI FrontierMath</t>
        </is>
      </c>
      <c r="C19" s="18" t="inlineStr">
        <is>
          <t>epoch.ai/benchmarks/frontiermath</t>
        </is>
      </c>
      <c r="D19" s="18" t="inlineStr">
        <is>
          <t>Advanced math/reasoning benchmark context</t>
        </is>
      </c>
      <c r="E19" s="18" t="inlineStr">
        <is>
          <t>4 - benchmark owner for FrontierMath</t>
        </is>
      </c>
      <c r="F19" s="18" t="inlineStr">
        <is>
          <t>Reasoning/math score confidence</t>
        </is>
      </c>
    </row>
    <row r="20">
      <c r="A20" s="18" t="inlineStr">
        <is>
          <t>Benchmark</t>
        </is>
      </c>
      <c r="B20" s="18" t="inlineStr">
        <is>
          <t>LMArena / Arena AI</t>
        </is>
      </c>
      <c r="C20" s="18" t="inlineStr">
        <is>
          <t>lmarena.ai</t>
        </is>
      </c>
      <c r="D20" s="18" t="inlineStr">
        <is>
          <t>Human preference arena for chat and image models</t>
        </is>
      </c>
      <c r="E20" s="18" t="inlineStr">
        <is>
          <t>3 - useful but prompt/user-mix dependent</t>
        </is>
      </c>
      <c r="F20" s="18" t="inlineStr">
        <is>
          <t>Creative/chat/image quality tie-breaks</t>
        </is>
      </c>
    </row>
    <row r="21">
      <c r="A21" s="18" t="inlineStr">
        <is>
          <t>Benchmark</t>
        </is>
      </c>
      <c r="B21" s="18" t="inlineStr">
        <is>
          <t>MTEB</t>
        </is>
      </c>
      <c r="C21" s="18" t="inlineStr">
        <is>
          <t>huggingface.co/spaces/mteb/leaderboard</t>
        </is>
      </c>
      <c r="D21" s="18" t="inlineStr">
        <is>
          <t>Embedding retrieval/classification quality benchmark</t>
        </is>
      </c>
      <c r="E21" s="18" t="inlineStr">
        <is>
          <t>4 - benchmark ecosystem source</t>
        </is>
      </c>
      <c r="F21" s="18" t="inlineStr">
        <is>
          <t>Embedding quality and retrieval stats</t>
        </is>
      </c>
    </row>
    <row r="22">
      <c r="A22" s="18" t="inlineStr">
        <is>
          <t>Runtime/local</t>
        </is>
      </c>
      <c r="B22" s="18" t="inlineStr">
        <is>
          <t>archive/AI_PROVIDER_MODEL_ROSTER_2026-06-06_SUPERSEDED_by_2026-06-07.md</t>
        </is>
      </c>
      <c r="C22" s="18" t="inlineStr">
        <is>
          <t>local repo artifact</t>
        </is>
      </c>
      <c r="D22" s="18" t="inlineStr">
        <is>
          <t>On-Dell access, installed surfaces, auth/billing state from runtime scan</t>
        </is>
      </c>
      <c r="E22" s="18" t="inlineStr">
        <is>
          <t>5 for local access on scan date; can drift</t>
        </is>
      </c>
      <c r="F22" s="18" t="inlineStr">
        <is>
          <t>Surface auth/billing and local model reachability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14" customWidth="1" min="3" max="3"/>
    <col width="34" customWidth="1" min="4" max="4"/>
    <col width="34" customWidth="1" min="5" max="5"/>
    <col width="10" customWidth="1" min="6" max="6"/>
    <col width="10" customWidth="1" min="7" max="7"/>
    <col width="12" customWidth="1" min="8" max="8"/>
    <col width="12" customWidth="1" min="9" max="9"/>
    <col width="18" customWidth="1" min="10" max="10"/>
    <col width="32" customWidth="1" min="11" max="11"/>
    <col width="42" customWidth="1" min="12" max="12"/>
    <col width="70" customWidth="1" min="13" max="13"/>
  </cols>
  <sheetData>
    <row r="1">
      <c r="A1" s="12" t="inlineStr">
        <is>
          <t>result_type</t>
        </is>
      </c>
      <c r="B1" s="12" t="inlineStr">
        <is>
          <t>model</t>
        </is>
      </c>
      <c r="C1" s="12" t="inlineStr">
        <is>
          <t>surface</t>
        </is>
      </c>
      <c r="D1" s="12" t="inlineStr">
        <is>
          <t>benchmark_or_pack</t>
        </is>
      </c>
      <c r="E1" s="12" t="inlineStr">
        <is>
          <t>domain_or_task</t>
        </is>
      </c>
      <c r="F1" s="12" t="inlineStr">
        <is>
          <t>runs</t>
        </is>
      </c>
      <c r="G1" s="12" t="inlineStr">
        <is>
          <t>passed</t>
        </is>
      </c>
      <c r="H1" s="12" t="inlineStr">
        <is>
          <t>pass_rate</t>
        </is>
      </c>
      <c r="I1" s="12" t="inlineStr">
        <is>
          <t>available</t>
        </is>
      </c>
      <c r="J1" s="12" t="inlineStr">
        <is>
          <t>wall_duration_ms</t>
        </is>
      </c>
      <c r="K1" s="12" t="inlineStr">
        <is>
          <t>failure_class_or_modes</t>
        </is>
      </c>
      <c r="L1" s="12" t="inlineStr">
        <is>
          <t>source_file</t>
        </is>
      </c>
      <c r="M1" s="12" t="inlineStr">
        <is>
          <t>notes</t>
        </is>
      </c>
    </row>
    <row r="2">
      <c r="A2" s="18" t="inlineStr">
        <is>
          <t>local_smoke_20s_cold_probe</t>
        </is>
      </c>
      <c r="B2" s="18" t="inlineStr">
        <is>
          <t>deepseek-coder-v2:latest</t>
        </is>
      </c>
      <c r="C2" s="18" t="inlineStr">
        <is>
          <t>ollama_http</t>
        </is>
      </c>
      <c r="D2" s="18" t="inlineStr">
        <is>
          <t>BENCH-LOCAL-001</t>
        </is>
      </c>
      <c r="E2" s="18" t="inlineStr">
        <is>
          <t>local_runtime_adapter</t>
        </is>
      </c>
      <c r="F2" s="18" t="n">
        <v>1</v>
      </c>
      <c r="G2" s="18" t="n">
        <v>0</v>
      </c>
      <c r="H2" s="18" t="n">
        <v>0</v>
      </c>
      <c r="I2" s="18" t="n">
        <v>0</v>
      </c>
      <c r="J2" s="18" t="n"/>
      <c r="K2" s="18" t="inlineStr">
        <is>
          <t>request_watchdog_timeout</t>
        </is>
      </c>
      <c r="L2" s="18" t="inlineStr">
        <is>
          <t>benchmark_results\local_ollama_benchmark_20260607_163127.jsonl</t>
        </is>
      </c>
      <c r="M2" s="18" t="inlineStr">
        <is>
          <t>20-second cold responsiveness probe; failure is not a final quality score.</t>
        </is>
      </c>
    </row>
    <row r="3">
      <c r="A3" s="18" t="inlineStr">
        <is>
          <t>local_smoke_20s_cold_probe</t>
        </is>
      </c>
      <c r="B3" s="18" t="inlineStr">
        <is>
          <t>deepseek-r1:8b</t>
        </is>
      </c>
      <c r="C3" s="18" t="inlineStr">
        <is>
          <t>ollama_http</t>
        </is>
      </c>
      <c r="D3" s="18" t="inlineStr">
        <is>
          <t>BENCH-LOCAL-001</t>
        </is>
      </c>
      <c r="E3" s="18" t="inlineStr">
        <is>
          <t>local_runtime_adapter</t>
        </is>
      </c>
      <c r="F3" s="18" t="n">
        <v>1</v>
      </c>
      <c r="G3" s="18" t="n">
        <v>0</v>
      </c>
      <c r="H3" s="18" t="n">
        <v>0</v>
      </c>
      <c r="I3" s="18" t="n">
        <v>0</v>
      </c>
      <c r="J3" s="18" t="n"/>
      <c r="K3" s="18" t="inlineStr">
        <is>
          <t>request_watchdog_timeout</t>
        </is>
      </c>
      <c r="L3" s="18" t="inlineStr">
        <is>
          <t>benchmark_results\local_ollama_benchmark_20260607_163127.jsonl</t>
        </is>
      </c>
      <c r="M3" s="18" t="inlineStr">
        <is>
          <t>20-second cold responsiveness probe; failure is not a final quality score.</t>
        </is>
      </c>
    </row>
    <row r="4">
      <c r="A4" s="18" t="inlineStr">
        <is>
          <t>local_smoke_20s_cold_probe</t>
        </is>
      </c>
      <c r="B4" s="18" t="inlineStr">
        <is>
          <t>gemma4:12b</t>
        </is>
      </c>
      <c r="C4" s="18" t="inlineStr">
        <is>
          <t>ollama_http</t>
        </is>
      </c>
      <c r="D4" s="18" t="inlineStr">
        <is>
          <t>BENCH-LOCAL-001</t>
        </is>
      </c>
      <c r="E4" s="18" t="inlineStr">
        <is>
          <t>local_runtime_adapter</t>
        </is>
      </c>
      <c r="F4" s="18" t="n">
        <v>1</v>
      </c>
      <c r="G4" s="18" t="n">
        <v>0</v>
      </c>
      <c r="H4" s="18" t="n">
        <v>0</v>
      </c>
      <c r="I4" s="18" t="n">
        <v>0</v>
      </c>
      <c r="J4" s="18" t="n"/>
      <c r="K4" s="18" t="inlineStr">
        <is>
          <t>request_watchdog_timeout</t>
        </is>
      </c>
      <c r="L4" s="18" t="inlineStr">
        <is>
          <t>benchmark_results\local_ollama_benchmark_20260607_163127.jsonl</t>
        </is>
      </c>
      <c r="M4" s="18" t="inlineStr">
        <is>
          <t>20-second cold responsiveness probe; failure is not a final quality score.</t>
        </is>
      </c>
    </row>
    <row r="5">
      <c r="A5" s="18" t="inlineStr">
        <is>
          <t>local_smoke_20s_cold_probe</t>
        </is>
      </c>
      <c r="B5" s="18" t="inlineStr">
        <is>
          <t>gemma4:12b-it-qat</t>
        </is>
      </c>
      <c r="C5" s="18" t="inlineStr">
        <is>
          <t>ollama_http</t>
        </is>
      </c>
      <c r="D5" s="18" t="inlineStr">
        <is>
          <t>BENCH-LOCAL-001</t>
        </is>
      </c>
      <c r="E5" s="18" t="inlineStr">
        <is>
          <t>local_runtime_adapter</t>
        </is>
      </c>
      <c r="F5" s="18" t="n">
        <v>1</v>
      </c>
      <c r="G5" s="18" t="n">
        <v>0</v>
      </c>
      <c r="H5" s="18" t="n">
        <v>0</v>
      </c>
      <c r="I5" s="18" t="n">
        <v>0</v>
      </c>
      <c r="J5" s="18" t="n"/>
      <c r="K5" s="18" t="inlineStr">
        <is>
          <t>request_watchdog_timeout</t>
        </is>
      </c>
      <c r="L5" s="18" t="inlineStr">
        <is>
          <t>benchmark_results\local_ollama_benchmark_20260607_163127.jsonl</t>
        </is>
      </c>
      <c r="M5" s="18" t="inlineStr">
        <is>
          <t>20-second cold responsiveness probe; failure is not a final quality score.</t>
        </is>
      </c>
    </row>
    <row r="6">
      <c r="A6" s="18" t="inlineStr">
        <is>
          <t>local_smoke_20s_cold_probe</t>
        </is>
      </c>
      <c r="B6" s="18" t="inlineStr">
        <is>
          <t>gemma4:e2b</t>
        </is>
      </c>
      <c r="C6" s="18" t="inlineStr">
        <is>
          <t>ollama_http</t>
        </is>
      </c>
      <c r="D6" s="18" t="inlineStr">
        <is>
          <t>BENCH-LOCAL-001</t>
        </is>
      </c>
      <c r="E6" s="18" t="inlineStr">
        <is>
          <t>local_runtime_adapter</t>
        </is>
      </c>
      <c r="F6" s="18" t="n">
        <v>1</v>
      </c>
      <c r="G6" s="18" t="n">
        <v>0</v>
      </c>
      <c r="H6" s="18" t="n">
        <v>0</v>
      </c>
      <c r="I6" s="18" t="n">
        <v>0</v>
      </c>
      <c r="J6" s="18" t="n"/>
      <c r="K6" s="18" t="inlineStr">
        <is>
          <t>request_watchdog_timeout</t>
        </is>
      </c>
      <c r="L6" s="18" t="inlineStr">
        <is>
          <t>benchmark_results\local_ollama_benchmark_20260607_163127.jsonl</t>
        </is>
      </c>
      <c r="M6" s="18" t="inlineStr">
        <is>
          <t>20-second cold responsiveness probe; failure is not a final quality score.</t>
        </is>
      </c>
    </row>
    <row r="7">
      <c r="A7" s="18" t="inlineStr">
        <is>
          <t>local_smoke_20s_cold_probe</t>
        </is>
      </c>
      <c r="B7" s="18" t="inlineStr">
        <is>
          <t>gemma4:e4b</t>
        </is>
      </c>
      <c r="C7" s="18" t="inlineStr">
        <is>
          <t>ollama_http</t>
        </is>
      </c>
      <c r="D7" s="18" t="inlineStr">
        <is>
          <t>BENCH-LOCAL-001</t>
        </is>
      </c>
      <c r="E7" s="18" t="inlineStr">
        <is>
          <t>local_runtime_adapter</t>
        </is>
      </c>
      <c r="F7" s="18" t="n">
        <v>1</v>
      </c>
      <c r="G7" s="18" t="n">
        <v>0</v>
      </c>
      <c r="H7" s="18" t="n">
        <v>0</v>
      </c>
      <c r="I7" s="18" t="n">
        <v>0</v>
      </c>
      <c r="J7" s="18" t="n"/>
      <c r="K7" s="18" t="inlineStr">
        <is>
          <t>request_watchdog_timeout</t>
        </is>
      </c>
      <c r="L7" s="18" t="inlineStr">
        <is>
          <t>benchmark_results\local_ollama_benchmark_20260607_163127.jsonl</t>
        </is>
      </c>
      <c r="M7" s="18" t="inlineStr">
        <is>
          <t>20-second cold responsiveness probe; failure is not a final quality score.</t>
        </is>
      </c>
    </row>
    <row r="8">
      <c r="A8" s="18" t="inlineStr">
        <is>
          <t>local_smoke_20s_cold_probe</t>
        </is>
      </c>
      <c r="B8" s="18" t="inlineStr">
        <is>
          <t>glm-ocr:latest</t>
        </is>
      </c>
      <c r="C8" s="18" t="inlineStr">
        <is>
          <t>ollama_http</t>
        </is>
      </c>
      <c r="D8" s="18" t="inlineStr">
        <is>
          <t>BENCH-LOCAL-001</t>
        </is>
      </c>
      <c r="E8" s="18" t="inlineStr">
        <is>
          <t>local_runtime_adapter</t>
        </is>
      </c>
      <c r="F8" s="18" t="n">
        <v>1</v>
      </c>
      <c r="G8" s="18" t="n">
        <v>0</v>
      </c>
      <c r="H8" s="18" t="n">
        <v>0</v>
      </c>
      <c r="I8" s="18" t="n">
        <v>1</v>
      </c>
      <c r="J8" s="18" t="n">
        <v>17550.2</v>
      </c>
      <c r="K8" s="18" t="inlineStr">
        <is>
          <t>sentinel_mismatch</t>
        </is>
      </c>
      <c r="L8" s="18" t="inlineStr">
        <is>
          <t>benchmark_results\local_ollama_benchmark_20260607_163127.jsonl</t>
        </is>
      </c>
      <c r="M8" s="18" t="inlineStr">
        <is>
          <t>20-second cold responsiveness probe; failure is not a final quality score.</t>
        </is>
      </c>
    </row>
    <row r="9">
      <c r="A9" s="18" t="inlineStr">
        <is>
          <t>local_smoke_20s_cold_probe</t>
        </is>
      </c>
      <c r="B9" s="18" t="inlineStr">
        <is>
          <t>gpt-oss:20b</t>
        </is>
      </c>
      <c r="C9" s="18" t="inlineStr">
        <is>
          <t>ollama_http</t>
        </is>
      </c>
      <c r="D9" s="18" t="inlineStr">
        <is>
          <t>BENCH-LOCAL-001</t>
        </is>
      </c>
      <c r="E9" s="18" t="inlineStr">
        <is>
          <t>local_runtime_adapter</t>
        </is>
      </c>
      <c r="F9" s="18" t="n">
        <v>1</v>
      </c>
      <c r="G9" s="18" t="n">
        <v>0</v>
      </c>
      <c r="H9" s="18" t="n">
        <v>0</v>
      </c>
      <c r="I9" s="18" t="n">
        <v>0</v>
      </c>
      <c r="J9" s="18" t="n"/>
      <c r="K9" s="18" t="inlineStr">
        <is>
          <t>request_watchdog_timeout</t>
        </is>
      </c>
      <c r="L9" s="18" t="inlineStr">
        <is>
          <t>benchmark_results\local_ollama_benchmark_20260607_163127.jsonl</t>
        </is>
      </c>
      <c r="M9" s="18" t="inlineStr">
        <is>
          <t>20-second cold responsiveness probe; failure is not a final quality score.</t>
        </is>
      </c>
    </row>
    <row r="10">
      <c r="A10" s="18" t="inlineStr">
        <is>
          <t>local_smoke_20s_cold_probe</t>
        </is>
      </c>
      <c r="B10" s="18" t="inlineStr">
        <is>
          <t>lfm2.5-thinking:1.2b</t>
        </is>
      </c>
      <c r="C10" s="18" t="inlineStr">
        <is>
          <t>ollama_http</t>
        </is>
      </c>
      <c r="D10" s="18" t="inlineStr">
        <is>
          <t>BENCH-LOCAL-001</t>
        </is>
      </c>
      <c r="E10" s="18" t="inlineStr">
        <is>
          <t>local_runtime_adapter</t>
        </is>
      </c>
      <c r="F10" s="18" t="n">
        <v>1</v>
      </c>
      <c r="G10" s="18" t="n">
        <v>0</v>
      </c>
      <c r="H10" s="18" t="n">
        <v>0</v>
      </c>
      <c r="I10" s="18" t="n">
        <v>0</v>
      </c>
      <c r="J10" s="18" t="n"/>
      <c r="K10" s="18" t="inlineStr">
        <is>
          <t>request_watchdog_timeout</t>
        </is>
      </c>
      <c r="L10" s="18" t="inlineStr">
        <is>
          <t>benchmark_results\local_ollama_benchmark_20260607_163127.jsonl</t>
        </is>
      </c>
      <c r="M10" s="18" t="inlineStr">
        <is>
          <t>20-second cold responsiveness probe; failure is not a final quality score.</t>
        </is>
      </c>
    </row>
    <row r="11">
      <c r="A11" s="18" t="inlineStr">
        <is>
          <t>local_smoke_20s_cold_probe</t>
        </is>
      </c>
      <c r="B11" s="18" t="inlineStr">
        <is>
          <t>ministral-3:3b</t>
        </is>
      </c>
      <c r="C11" s="18" t="inlineStr">
        <is>
          <t>ollama_http</t>
        </is>
      </c>
      <c r="D11" s="18" t="inlineStr">
        <is>
          <t>BENCH-LOCAL-001</t>
        </is>
      </c>
      <c r="E11" s="18" t="inlineStr">
        <is>
          <t>local_runtime_adapter</t>
        </is>
      </c>
      <c r="F11" s="18" t="n">
        <v>1</v>
      </c>
      <c r="G11" s="18" t="n">
        <v>0</v>
      </c>
      <c r="H11" s="18" t="n">
        <v>0</v>
      </c>
      <c r="I11" s="18" t="n">
        <v>0</v>
      </c>
      <c r="J11" s="18" t="n"/>
      <c r="K11" s="18" t="inlineStr">
        <is>
          <t>request_watchdog_timeout</t>
        </is>
      </c>
      <c r="L11" s="18" t="inlineStr">
        <is>
          <t>benchmark_results\local_ollama_benchmark_20260607_163127.jsonl</t>
        </is>
      </c>
      <c r="M11" s="18" t="inlineStr">
        <is>
          <t>20-second cold responsiveness probe; failure is not a final quality score.</t>
        </is>
      </c>
    </row>
    <row r="12">
      <c r="A12" s="18" t="inlineStr">
        <is>
          <t>local_smoke_20s_cold_probe</t>
        </is>
      </c>
      <c r="B12" s="18" t="inlineStr">
        <is>
          <t>ministral-3:8b</t>
        </is>
      </c>
      <c r="C12" s="18" t="inlineStr">
        <is>
          <t>ollama_http</t>
        </is>
      </c>
      <c r="D12" s="18" t="inlineStr">
        <is>
          <t>BENCH-LOCAL-001</t>
        </is>
      </c>
      <c r="E12" s="18" t="inlineStr">
        <is>
          <t>local_runtime_adapter</t>
        </is>
      </c>
      <c r="F12" s="18" t="n">
        <v>1</v>
      </c>
      <c r="G12" s="18" t="n">
        <v>0</v>
      </c>
      <c r="H12" s="18" t="n">
        <v>0</v>
      </c>
      <c r="I12" s="18" t="n">
        <v>0</v>
      </c>
      <c r="J12" s="18" t="n"/>
      <c r="K12" s="18" t="inlineStr">
        <is>
          <t>request_watchdog_timeout</t>
        </is>
      </c>
      <c r="L12" s="18" t="inlineStr">
        <is>
          <t>benchmark_results\local_ollama_benchmark_20260607_163127.jsonl</t>
        </is>
      </c>
      <c r="M12" s="18" t="inlineStr">
        <is>
          <t>20-second cold responsiveness probe; failure is not a final quality score.</t>
        </is>
      </c>
    </row>
    <row r="13">
      <c r="A13" s="18" t="inlineStr">
        <is>
          <t>local_smoke_20s_cold_probe</t>
        </is>
      </c>
      <c r="B13" s="18" t="inlineStr">
        <is>
          <t>nomic-embed-text:latest</t>
        </is>
      </c>
      <c r="C13" s="18" t="inlineStr">
        <is>
          <t>ollama_http</t>
        </is>
      </c>
      <c r="D13" s="18" t="inlineStr">
        <is>
          <t>BENCH-LOCAL-001</t>
        </is>
      </c>
      <c r="E13" s="18" t="inlineStr">
        <is>
          <t>local_runtime_adapter</t>
        </is>
      </c>
      <c r="F13" s="18" t="n">
        <v>1</v>
      </c>
      <c r="G13" s="18" t="n">
        <v>0</v>
      </c>
      <c r="H13" s="18" t="n">
        <v>0</v>
      </c>
      <c r="I13" s="18" t="n">
        <v>0</v>
      </c>
      <c r="J13" s="18" t="n"/>
      <c r="K13" s="18" t="inlineStr">
        <is>
          <t>chat_adapter_bad_request</t>
        </is>
      </c>
      <c r="L13" s="18" t="inlineStr">
        <is>
          <t>benchmark_results\local_ollama_benchmark_20260607_163127.jsonl</t>
        </is>
      </c>
      <c r="M13" s="18" t="inlineStr">
        <is>
          <t>20-second cold responsiveness probe; failure is not a final quality score.</t>
        </is>
      </c>
    </row>
    <row r="14">
      <c r="A14" s="18" t="inlineStr">
        <is>
          <t>local_smoke_20s_cold_probe</t>
        </is>
      </c>
      <c r="B14" s="18" t="inlineStr">
        <is>
          <t>nuextract:latest</t>
        </is>
      </c>
      <c r="C14" s="18" t="inlineStr">
        <is>
          <t>ollama_http</t>
        </is>
      </c>
      <c r="D14" s="18" t="inlineStr">
        <is>
          <t>BENCH-LOCAL-001</t>
        </is>
      </c>
      <c r="E14" s="18" t="inlineStr">
        <is>
          <t>local_runtime_adapter</t>
        </is>
      </c>
      <c r="F14" s="18" t="n">
        <v>1</v>
      </c>
      <c r="G14" s="18" t="n">
        <v>0</v>
      </c>
      <c r="H14" s="18" t="n">
        <v>0</v>
      </c>
      <c r="I14" s="18" t="n">
        <v>0</v>
      </c>
      <c r="J14" s="18" t="n"/>
      <c r="K14" s="18" t="inlineStr">
        <is>
          <t>request_watchdog_timeout</t>
        </is>
      </c>
      <c r="L14" s="18" t="inlineStr">
        <is>
          <t>benchmark_results\local_ollama_benchmark_20260607_163127.jsonl</t>
        </is>
      </c>
      <c r="M14" s="18" t="inlineStr">
        <is>
          <t>20-second cold responsiveness probe; failure is not a final quality score.</t>
        </is>
      </c>
    </row>
    <row r="15">
      <c r="A15" s="18" t="inlineStr">
        <is>
          <t>local_smoke_20s_cold_probe</t>
        </is>
      </c>
      <c r="B15" s="18" t="inlineStr">
        <is>
          <t>qwen2.5-coder:3b</t>
        </is>
      </c>
      <c r="C15" s="18" t="inlineStr">
        <is>
          <t>ollama_http</t>
        </is>
      </c>
      <c r="D15" s="18" t="inlineStr">
        <is>
          <t>BENCH-LOCAL-001</t>
        </is>
      </c>
      <c r="E15" s="18" t="inlineStr">
        <is>
          <t>local_runtime_adapter</t>
        </is>
      </c>
      <c r="F15" s="18" t="n">
        <v>1</v>
      </c>
      <c r="G15" s="18" t="n">
        <v>1</v>
      </c>
      <c r="H15" s="18" t="n">
        <v>1</v>
      </c>
      <c r="I15" s="18" t="n">
        <v>1</v>
      </c>
      <c r="J15" s="18" t="n">
        <v>12069.1</v>
      </c>
      <c r="K15" s="18" t="inlineStr">
        <is>
          <t>passed</t>
        </is>
      </c>
      <c r="L15" s="18" t="inlineStr">
        <is>
          <t>benchmark_results\local_ollama_benchmark_20260607_163127.jsonl</t>
        </is>
      </c>
      <c r="M15" s="18" t="inlineStr">
        <is>
          <t>20-second cold responsiveness probe; failure is not a final quality score.</t>
        </is>
      </c>
    </row>
    <row r="16">
      <c r="A16" s="18" t="inlineStr">
        <is>
          <t>local_smoke_20s_cold_probe</t>
        </is>
      </c>
      <c r="B16" s="18" t="inlineStr">
        <is>
          <t>qwen2.5-coder:7b</t>
        </is>
      </c>
      <c r="C16" s="18" t="inlineStr">
        <is>
          <t>ollama_http</t>
        </is>
      </c>
      <c r="D16" s="18" t="inlineStr">
        <is>
          <t>BENCH-LOCAL-001</t>
        </is>
      </c>
      <c r="E16" s="18" t="inlineStr">
        <is>
          <t>local_runtime_adapter</t>
        </is>
      </c>
      <c r="F16" s="18" t="n">
        <v>1</v>
      </c>
      <c r="G16" s="18" t="n">
        <v>0</v>
      </c>
      <c r="H16" s="18" t="n">
        <v>0</v>
      </c>
      <c r="I16" s="18" t="n">
        <v>0</v>
      </c>
      <c r="J16" s="18" t="n"/>
      <c r="K16" s="18" t="inlineStr">
        <is>
          <t>request_watchdog_timeout</t>
        </is>
      </c>
      <c r="L16" s="18" t="inlineStr">
        <is>
          <t>benchmark_results\local_ollama_benchmark_20260607_163127.jsonl</t>
        </is>
      </c>
      <c r="M16" s="18" t="inlineStr">
        <is>
          <t>20-second cold responsiveness probe; failure is not a final quality score.</t>
        </is>
      </c>
    </row>
    <row r="17">
      <c r="A17" s="18" t="inlineStr">
        <is>
          <t>local_smoke_20s_cold_probe</t>
        </is>
      </c>
      <c r="B17" s="18" t="inlineStr">
        <is>
          <t>qwen2.5:0.5b</t>
        </is>
      </c>
      <c r="C17" s="18" t="inlineStr">
        <is>
          <t>ollama_http</t>
        </is>
      </c>
      <c r="D17" s="18" t="inlineStr">
        <is>
          <t>BENCH-LOCAL-001</t>
        </is>
      </c>
      <c r="E17" s="18" t="inlineStr">
        <is>
          <t>local_runtime_adapter</t>
        </is>
      </c>
      <c r="F17" s="18" t="n">
        <v>1</v>
      </c>
      <c r="G17" s="18" t="n">
        <v>1</v>
      </c>
      <c r="H17" s="18" t="n">
        <v>1</v>
      </c>
      <c r="I17" s="18" t="n">
        <v>1</v>
      </c>
      <c r="J17" s="18" t="n">
        <v>6780.1</v>
      </c>
      <c r="K17" s="18" t="inlineStr">
        <is>
          <t>passed</t>
        </is>
      </c>
      <c r="L17" s="18" t="inlineStr">
        <is>
          <t>benchmark_results\local_ollama_benchmark_20260607_163127.jsonl</t>
        </is>
      </c>
      <c r="M17" s="18" t="inlineStr">
        <is>
          <t>20-second cold responsiveness probe; failure is not a final quality score.</t>
        </is>
      </c>
    </row>
    <row r="18">
      <c r="A18" s="18" t="inlineStr">
        <is>
          <t>local_smoke_20s_cold_probe</t>
        </is>
      </c>
      <c r="B18" s="18" t="inlineStr">
        <is>
          <t>qwen2.5vl:3b</t>
        </is>
      </c>
      <c r="C18" s="18" t="inlineStr">
        <is>
          <t>ollama_http</t>
        </is>
      </c>
      <c r="D18" s="18" t="inlineStr">
        <is>
          <t>BENCH-LOCAL-001</t>
        </is>
      </c>
      <c r="E18" s="18" t="inlineStr">
        <is>
          <t>local_runtime_adapter</t>
        </is>
      </c>
      <c r="F18" s="18" t="n">
        <v>1</v>
      </c>
      <c r="G18" s="18" t="n">
        <v>0</v>
      </c>
      <c r="H18" s="18" t="n">
        <v>0</v>
      </c>
      <c r="I18" s="18" t="n">
        <v>0</v>
      </c>
      <c r="J18" s="18" t="n"/>
      <c r="K18" s="18" t="inlineStr">
        <is>
          <t>request_watchdog_timeout</t>
        </is>
      </c>
      <c r="L18" s="18" t="inlineStr">
        <is>
          <t>benchmark_results\local_ollama_benchmark_20260607_163127.jsonl</t>
        </is>
      </c>
      <c r="M18" s="18" t="inlineStr">
        <is>
          <t>20-second cold responsiveness probe; failure is not a final quality score.</t>
        </is>
      </c>
    </row>
    <row r="19">
      <c r="A19" s="18" t="inlineStr">
        <is>
          <t>local_smoke_20s_cold_probe</t>
        </is>
      </c>
      <c r="B19" s="18" t="inlineStr">
        <is>
          <t>qwen3-embedding:0.6b</t>
        </is>
      </c>
      <c r="C19" s="18" t="inlineStr">
        <is>
          <t>ollama_http</t>
        </is>
      </c>
      <c r="D19" s="18" t="inlineStr">
        <is>
          <t>BENCH-LOCAL-001</t>
        </is>
      </c>
      <c r="E19" s="18" t="inlineStr">
        <is>
          <t>local_runtime_adapter</t>
        </is>
      </c>
      <c r="F19" s="18" t="n">
        <v>1</v>
      </c>
      <c r="G19" s="18" t="n">
        <v>0</v>
      </c>
      <c r="H19" s="18" t="n">
        <v>0</v>
      </c>
      <c r="I19" s="18" t="n">
        <v>0</v>
      </c>
      <c r="J19" s="18" t="n"/>
      <c r="K19" s="18" t="inlineStr">
        <is>
          <t>chat_adapter_bad_request</t>
        </is>
      </c>
      <c r="L19" s="18" t="inlineStr">
        <is>
          <t>benchmark_results\local_ollama_benchmark_20260607_163127.jsonl</t>
        </is>
      </c>
      <c r="M19" s="18" t="inlineStr">
        <is>
          <t>20-second cold responsiveness probe; failure is not a final quality score.</t>
        </is>
      </c>
    </row>
    <row r="20">
      <c r="A20" s="18" t="inlineStr">
        <is>
          <t>local_smoke_20s_cold_probe</t>
        </is>
      </c>
      <c r="B20" s="18" t="inlineStr">
        <is>
          <t>qwen3-embedding:4b</t>
        </is>
      </c>
      <c r="C20" s="18" t="inlineStr">
        <is>
          <t>ollama_http</t>
        </is>
      </c>
      <c r="D20" s="18" t="inlineStr">
        <is>
          <t>BENCH-LOCAL-001</t>
        </is>
      </c>
      <c r="E20" s="18" t="inlineStr">
        <is>
          <t>local_runtime_adapter</t>
        </is>
      </c>
      <c r="F20" s="18" t="n">
        <v>1</v>
      </c>
      <c r="G20" s="18" t="n">
        <v>0</v>
      </c>
      <c r="H20" s="18" t="n">
        <v>0</v>
      </c>
      <c r="I20" s="18" t="n">
        <v>0</v>
      </c>
      <c r="J20" s="18" t="n"/>
      <c r="K20" s="18" t="inlineStr">
        <is>
          <t>chat_adapter_bad_request</t>
        </is>
      </c>
      <c r="L20" s="18" t="inlineStr">
        <is>
          <t>benchmark_results\local_ollama_benchmark_20260607_163127.jsonl</t>
        </is>
      </c>
      <c r="M20" s="18" t="inlineStr">
        <is>
          <t>20-second cold responsiveness probe; failure is not a final quality score.</t>
        </is>
      </c>
    </row>
    <row r="21">
      <c r="A21" s="18" t="inlineStr">
        <is>
          <t>local_smoke_20s_cold_probe</t>
        </is>
      </c>
      <c r="B21" s="18" t="inlineStr">
        <is>
          <t>qwen3-vl:2b</t>
        </is>
      </c>
      <c r="C21" s="18" t="inlineStr">
        <is>
          <t>ollama_http</t>
        </is>
      </c>
      <c r="D21" s="18" t="inlineStr">
        <is>
          <t>BENCH-LOCAL-001</t>
        </is>
      </c>
      <c r="E21" s="18" t="inlineStr">
        <is>
          <t>local_runtime_adapter</t>
        </is>
      </c>
      <c r="F21" s="18" t="n">
        <v>1</v>
      </c>
      <c r="G21" s="18" t="n">
        <v>0</v>
      </c>
      <c r="H21" s="18" t="n">
        <v>0</v>
      </c>
      <c r="I21" s="18" t="n">
        <v>0</v>
      </c>
      <c r="J21" s="18" t="n"/>
      <c r="K21" s="18" t="inlineStr">
        <is>
          <t>request_watchdog_timeout</t>
        </is>
      </c>
      <c r="L21" s="18" t="inlineStr">
        <is>
          <t>benchmark_results\local_ollama_benchmark_20260607_163127.jsonl</t>
        </is>
      </c>
      <c r="M21" s="18" t="inlineStr">
        <is>
          <t>20-second cold responsiveness probe; failure is not a final quality score.</t>
        </is>
      </c>
    </row>
    <row r="22">
      <c r="A22" s="18" t="inlineStr">
        <is>
          <t>local_smoke_20s_cold_probe</t>
        </is>
      </c>
      <c r="B22" s="18" t="inlineStr">
        <is>
          <t>qwen3.5:0.8b</t>
        </is>
      </c>
      <c r="C22" s="18" t="inlineStr">
        <is>
          <t>ollama_http</t>
        </is>
      </c>
      <c r="D22" s="18" t="inlineStr">
        <is>
          <t>BENCH-LOCAL-001</t>
        </is>
      </c>
      <c r="E22" s="18" t="inlineStr">
        <is>
          <t>local_runtime_adapter</t>
        </is>
      </c>
      <c r="F22" s="18" t="n">
        <v>1</v>
      </c>
      <c r="G22" s="18" t="n">
        <v>0</v>
      </c>
      <c r="H22" s="18" t="n">
        <v>0</v>
      </c>
      <c r="I22" s="18" t="n">
        <v>0</v>
      </c>
      <c r="J22" s="18" t="n"/>
      <c r="K22" s="18" t="inlineStr">
        <is>
          <t>request_watchdog_timeout</t>
        </is>
      </c>
      <c r="L22" s="18" t="inlineStr">
        <is>
          <t>benchmark_results\local_ollama_benchmark_20260607_163127.jsonl</t>
        </is>
      </c>
      <c r="M22" s="18" t="inlineStr">
        <is>
          <t>20-second cold responsiveness probe; failure is not a final quality score.</t>
        </is>
      </c>
    </row>
    <row r="23">
      <c r="A23" s="18" t="inlineStr">
        <is>
          <t>local_smoke_20s_cold_probe</t>
        </is>
      </c>
      <c r="B23" s="18" t="inlineStr">
        <is>
          <t>qwen3.5:2b</t>
        </is>
      </c>
      <c r="C23" s="18" t="inlineStr">
        <is>
          <t>ollama_http</t>
        </is>
      </c>
      <c r="D23" s="18" t="inlineStr">
        <is>
          <t>BENCH-LOCAL-001</t>
        </is>
      </c>
      <c r="E23" s="18" t="inlineStr">
        <is>
          <t>local_runtime_adapter</t>
        </is>
      </c>
      <c r="F23" s="18" t="n">
        <v>1</v>
      </c>
      <c r="G23" s="18" t="n">
        <v>0</v>
      </c>
      <c r="H23" s="18" t="n">
        <v>0</v>
      </c>
      <c r="I23" s="18" t="n">
        <v>0</v>
      </c>
      <c r="J23" s="18" t="n"/>
      <c r="K23" s="18" t="inlineStr">
        <is>
          <t>request_watchdog_timeout</t>
        </is>
      </c>
      <c r="L23" s="18" t="inlineStr">
        <is>
          <t>benchmark_results\local_ollama_benchmark_20260607_163127.jsonl</t>
        </is>
      </c>
      <c r="M23" s="18" t="inlineStr">
        <is>
          <t>20-second cold responsiveness probe; failure is not a final quality score.</t>
        </is>
      </c>
    </row>
    <row r="24">
      <c r="A24" s="18" t="inlineStr">
        <is>
          <t>local_smoke_20s_cold_probe</t>
        </is>
      </c>
      <c r="B24" s="18" t="inlineStr">
        <is>
          <t>qwen3.5:4b</t>
        </is>
      </c>
      <c r="C24" s="18" t="inlineStr">
        <is>
          <t>ollama_http</t>
        </is>
      </c>
      <c r="D24" s="18" t="inlineStr">
        <is>
          <t>BENCH-LOCAL-001</t>
        </is>
      </c>
      <c r="E24" s="18" t="inlineStr">
        <is>
          <t>local_runtime_adapter</t>
        </is>
      </c>
      <c r="F24" s="18" t="n">
        <v>1</v>
      </c>
      <c r="G24" s="18" t="n">
        <v>0</v>
      </c>
      <c r="H24" s="18" t="n">
        <v>0</v>
      </c>
      <c r="I24" s="18" t="n">
        <v>0</v>
      </c>
      <c r="J24" s="18" t="n"/>
      <c r="K24" s="18" t="inlineStr">
        <is>
          <t>request_watchdog_timeout</t>
        </is>
      </c>
      <c r="L24" s="18" t="inlineStr">
        <is>
          <t>benchmark_results\local_ollama_benchmark_20260607_163127.jsonl</t>
        </is>
      </c>
      <c r="M24" s="18" t="inlineStr">
        <is>
          <t>20-second cold responsiveness probe; failure is not a final quality score.</t>
        </is>
      </c>
    </row>
    <row r="25">
      <c r="A25" s="18" t="inlineStr">
        <is>
          <t>local_smoke_20s_cold_probe</t>
        </is>
      </c>
      <c r="B25" s="18" t="inlineStr">
        <is>
          <t>qwen3.5:9b</t>
        </is>
      </c>
      <c r="C25" s="18" t="inlineStr">
        <is>
          <t>ollama_http</t>
        </is>
      </c>
      <c r="D25" s="18" t="inlineStr">
        <is>
          <t>BENCH-LOCAL-001</t>
        </is>
      </c>
      <c r="E25" s="18" t="inlineStr">
        <is>
          <t>local_runtime_adapter</t>
        </is>
      </c>
      <c r="F25" s="18" t="n">
        <v>1</v>
      </c>
      <c r="G25" s="18" t="n">
        <v>0</v>
      </c>
      <c r="H25" s="18" t="n">
        <v>0</v>
      </c>
      <c r="I25" s="18" t="n">
        <v>0</v>
      </c>
      <c r="J25" s="18" t="n"/>
      <c r="K25" s="18" t="inlineStr">
        <is>
          <t>request_watchdog_timeout</t>
        </is>
      </c>
      <c r="L25" s="18" t="inlineStr">
        <is>
          <t>benchmark_results\local_ollama_benchmark_20260607_163127.jsonl</t>
        </is>
      </c>
      <c r="M25" s="18" t="inlineStr">
        <is>
          <t>20-second cold responsiveness probe; failure is not a final quality score.</t>
        </is>
      </c>
    </row>
    <row r="26">
      <c r="A26" s="18" t="inlineStr">
        <is>
          <t>local_smoke_20s_cold_probe</t>
        </is>
      </c>
      <c r="B26" s="18" t="inlineStr">
        <is>
          <t>qwen3:4b</t>
        </is>
      </c>
      <c r="C26" s="18" t="inlineStr">
        <is>
          <t>ollama_http</t>
        </is>
      </c>
      <c r="D26" s="18" t="inlineStr">
        <is>
          <t>BENCH-LOCAL-001</t>
        </is>
      </c>
      <c r="E26" s="18" t="inlineStr">
        <is>
          <t>local_runtime_adapter</t>
        </is>
      </c>
      <c r="F26" s="18" t="n">
        <v>1</v>
      </c>
      <c r="G26" s="18" t="n">
        <v>0</v>
      </c>
      <c r="H26" s="18" t="n">
        <v>0</v>
      </c>
      <c r="I26" s="18" t="n">
        <v>0</v>
      </c>
      <c r="J26" s="18" t="n"/>
      <c r="K26" s="18" t="inlineStr">
        <is>
          <t>request_watchdog_timeout</t>
        </is>
      </c>
      <c r="L26" s="18" t="inlineStr">
        <is>
          <t>benchmark_results\local_ollama_benchmark_20260607_163127.jsonl</t>
        </is>
      </c>
      <c r="M26" s="18" t="inlineStr">
        <is>
          <t>20-second cold responsiveness probe; failure is not a final quality score.</t>
        </is>
      </c>
    </row>
    <row r="27">
      <c r="A27" s="18" t="inlineStr">
        <is>
          <t>local_smoke_20s_cold_probe</t>
        </is>
      </c>
      <c r="B27" s="18" t="inlineStr">
        <is>
          <t>qwen3:8b</t>
        </is>
      </c>
      <c r="C27" s="18" t="inlineStr">
        <is>
          <t>ollama_http</t>
        </is>
      </c>
      <c r="D27" s="18" t="inlineStr">
        <is>
          <t>BENCH-LOCAL-001</t>
        </is>
      </c>
      <c r="E27" s="18" t="inlineStr">
        <is>
          <t>local_runtime_adapter</t>
        </is>
      </c>
      <c r="F27" s="18" t="n">
        <v>1</v>
      </c>
      <c r="G27" s="18" t="n">
        <v>0</v>
      </c>
      <c r="H27" s="18" t="n">
        <v>0</v>
      </c>
      <c r="I27" s="18" t="n">
        <v>0</v>
      </c>
      <c r="J27" s="18" t="n"/>
      <c r="K27" s="18" t="inlineStr">
        <is>
          <t>request_watchdog_timeout</t>
        </is>
      </c>
      <c r="L27" s="18" t="inlineStr">
        <is>
          <t>benchmark_results\local_ollama_benchmark_20260607_163127.jsonl</t>
        </is>
      </c>
      <c r="M27" s="18" t="inlineStr">
        <is>
          <t>20-second cold responsiveness probe; failure is not a final quality score.</t>
        </is>
      </c>
    </row>
    <row r="28">
      <c r="A28" s="18" t="inlineStr">
        <is>
          <t>operation_overall</t>
        </is>
      </c>
      <c r="B28" s="18" t="inlineStr">
        <is>
          <t>deepseek-coder-v2:latest</t>
        </is>
      </c>
      <c r="C28" s="18" t="inlineStr">
        <is>
          <t>ollama_http</t>
        </is>
      </c>
      <c r="D28" s="18" t="inlineStr">
        <is>
          <t>operations_first_pack_2026-06-07</t>
        </is>
      </c>
      <c r="E28" s="18" t="inlineStr">
        <is>
          <t>all_operation_domains</t>
        </is>
      </c>
      <c r="F28" s="18" t="n">
        <v>13</v>
      </c>
      <c r="G28" s="18" t="n">
        <v>0</v>
      </c>
      <c r="H28" s="18" t="n">
        <v>0</v>
      </c>
      <c r="I28" s="18" t="inlineStr"/>
      <c r="J28" s="18" t="n"/>
      <c r="K28" s="18" t="inlineStr">
        <is>
          <t>{"unavailable_or_timeout": 13}</t>
        </is>
      </c>
      <c r="L28" s="18" t="inlineStr">
        <is>
          <t>C:\Users\Couch\Documents\Claude\Projects\Home of Claude - MSI Auto Project\orchestrator_contracts\local_model_operation_scores_2026-06-07.json</t>
        </is>
      </c>
      <c r="M28" s="18" t="inlineStr">
        <is>
          <t>Strict one-trial operation fixture matrix; route only where validators pass.</t>
        </is>
      </c>
    </row>
    <row r="29">
      <c r="A29" s="18" t="inlineStr">
        <is>
          <t>operation_domain</t>
        </is>
      </c>
      <c r="B29" s="18" t="inlineStr">
        <is>
          <t>deepseek-coder-v2:latest</t>
        </is>
      </c>
      <c r="C29" s="18" t="inlineStr">
        <is>
          <t>ollama_http</t>
        </is>
      </c>
      <c r="D29" s="18" t="inlineStr">
        <is>
          <t>operations_first_pack_2026-06-07</t>
        </is>
      </c>
      <c r="E29" s="18" t="inlineStr">
        <is>
          <t>compliance_policy</t>
        </is>
      </c>
      <c r="F29" s="18" t="n">
        <v>1</v>
      </c>
      <c r="G29" s="18" t="n">
        <v>0</v>
      </c>
      <c r="H29" s="18" t="n">
        <v>0</v>
      </c>
      <c r="I29" s="18" t="inlineStr"/>
      <c r="J29" s="18" t="n"/>
      <c r="K29" s="18" t="inlineStr">
        <is>
          <t>{"unavailable_or_timeout": 1}</t>
        </is>
      </c>
      <c r="L29" s="18" t="inlineStr">
        <is>
          <t>C:\Users\Couch\Documents\Claude\Projects\Home of Claude - MSI Auto Project\orchestrator_contracts\local_model_operation_scores_2026-06-07.json</t>
        </is>
      </c>
      <c r="M29" s="18" t="inlineStr">
        <is>
          <t>Domain score from deterministic fixture validator.</t>
        </is>
      </c>
    </row>
    <row r="30">
      <c r="A30" s="18" t="inlineStr">
        <is>
          <t>operation_domain</t>
        </is>
      </c>
      <c r="B30" s="18" t="inlineStr">
        <is>
          <t>deepseek-coder-v2:latest</t>
        </is>
      </c>
      <c r="C30" s="18" t="inlineStr">
        <is>
          <t>ollama_http</t>
        </is>
      </c>
      <c r="D30" s="18" t="inlineStr">
        <is>
          <t>operations_first_pack_2026-06-07</t>
        </is>
      </c>
      <c r="E30" s="18" t="inlineStr">
        <is>
          <t>computer_control_app_use</t>
        </is>
      </c>
      <c r="F30" s="18" t="n">
        <v>1</v>
      </c>
      <c r="G30" s="18" t="n">
        <v>0</v>
      </c>
      <c r="H30" s="18" t="n">
        <v>0</v>
      </c>
      <c r="I30" s="18" t="inlineStr"/>
      <c r="J30" s="18" t="n"/>
      <c r="K30" s="18" t="inlineStr">
        <is>
          <t>{"unavailable_or_timeout": 1}</t>
        </is>
      </c>
      <c r="L30" s="18" t="inlineStr">
        <is>
          <t>C:\Users\Couch\Documents\Claude\Projects\Home of Claude - MSI Auto Project\orchestrator_contracts\local_model_operation_scores_2026-06-07.json</t>
        </is>
      </c>
      <c r="M30" s="18" t="inlineStr">
        <is>
          <t>Domain score from deterministic fixture validator.</t>
        </is>
      </c>
    </row>
    <row r="31">
      <c r="A31" s="18" t="inlineStr">
        <is>
          <t>operation_domain</t>
        </is>
      </c>
      <c r="B31" s="18" t="inlineStr">
        <is>
          <t>deepseek-coder-v2:latest</t>
        </is>
      </c>
      <c r="C31" s="18" t="inlineStr">
        <is>
          <t>ollama_http</t>
        </is>
      </c>
      <c r="D31" s="18" t="inlineStr">
        <is>
          <t>operations_first_pack_2026-06-07</t>
        </is>
      </c>
      <c r="E31" s="18" t="inlineStr">
        <is>
          <t>conceptualization_strategy</t>
        </is>
      </c>
      <c r="F31" s="18" t="n">
        <v>1</v>
      </c>
      <c r="G31" s="18" t="n">
        <v>0</v>
      </c>
      <c r="H31" s="18" t="n">
        <v>0</v>
      </c>
      <c r="I31" s="18" t="inlineStr"/>
      <c r="J31" s="18" t="n"/>
      <c r="K31" s="18" t="inlineStr">
        <is>
          <t>{"unavailable_or_timeout": 1}</t>
        </is>
      </c>
      <c r="L31" s="18" t="inlineStr">
        <is>
          <t>C:\Users\Couch\Documents\Claude\Projects\Home of Claude - MSI Auto Project\orchestrator_contracts\local_model_operation_scores_2026-06-07.json</t>
        </is>
      </c>
      <c r="M31" s="18" t="inlineStr">
        <is>
          <t>Domain score from deterministic fixture validator.</t>
        </is>
      </c>
    </row>
    <row r="32">
      <c r="A32" s="18" t="inlineStr">
        <is>
          <t>operation_domain</t>
        </is>
      </c>
      <c r="B32" s="18" t="inlineStr">
        <is>
          <t>deepseek-coder-v2:latest</t>
        </is>
      </c>
      <c r="C32" s="18" t="inlineStr">
        <is>
          <t>ollama_http</t>
        </is>
      </c>
      <c r="D32" s="18" t="inlineStr">
        <is>
          <t>operations_first_pack_2026-06-07</t>
        </is>
      </c>
      <c r="E32" s="18" t="inlineStr">
        <is>
          <t>data_analytics_kpi_diagnostics</t>
        </is>
      </c>
      <c r="F32" s="18" t="n">
        <v>1</v>
      </c>
      <c r="G32" s="18" t="n">
        <v>0</v>
      </c>
      <c r="H32" s="18" t="n">
        <v>0</v>
      </c>
      <c r="I32" s="18" t="inlineStr"/>
      <c r="J32" s="18" t="n"/>
      <c r="K32" s="18" t="inlineStr">
        <is>
          <t>{"unavailable_or_timeout": 1}</t>
        </is>
      </c>
      <c r="L32" s="18" t="inlineStr">
        <is>
          <t>C:\Users\Couch\Documents\Claude\Projects\Home of Claude - MSI Auto Project\orchestrator_contracts\local_model_operation_scores_2026-06-07.json</t>
        </is>
      </c>
      <c r="M32" s="18" t="inlineStr">
        <is>
          <t>Domain score from deterministic fixture validator.</t>
        </is>
      </c>
    </row>
    <row r="33">
      <c r="A33" s="18" t="inlineStr">
        <is>
          <t>operation_domain</t>
        </is>
      </c>
      <c r="B33" s="18" t="inlineStr">
        <is>
          <t>deepseek-coder-v2:latest</t>
        </is>
      </c>
      <c r="C33" s="18" t="inlineStr">
        <is>
          <t>ollama_http</t>
        </is>
      </c>
      <c r="D33" s="18" t="inlineStr">
        <is>
          <t>operations_first_pack_2026-06-07</t>
        </is>
      </c>
      <c r="E33" s="18" t="inlineStr">
        <is>
          <t>financial_operations</t>
        </is>
      </c>
      <c r="F33" s="18" t="n">
        <v>1</v>
      </c>
      <c r="G33" s="18" t="n">
        <v>0</v>
      </c>
      <c r="H33" s="18" t="n">
        <v>0</v>
      </c>
      <c r="I33" s="18" t="inlineStr"/>
      <c r="J33" s="18" t="n"/>
      <c r="K33" s="18" t="inlineStr">
        <is>
          <t>{"unavailable_or_timeout": 1}</t>
        </is>
      </c>
      <c r="L33" s="18" t="inlineStr">
        <is>
          <t>C:\Users\Couch\Documents\Claude\Projects\Home of Claude - MSI Auto Project\orchestrator_contracts\local_model_operation_scores_2026-06-07.json</t>
        </is>
      </c>
      <c r="M33" s="18" t="inlineStr">
        <is>
          <t>Domain score from deterministic fixture validator.</t>
        </is>
      </c>
    </row>
    <row r="34">
      <c r="A34" s="18" t="inlineStr">
        <is>
          <t>operation_domain</t>
        </is>
      </c>
      <c r="B34" s="18" t="inlineStr">
        <is>
          <t>deepseek-coder-v2:latest</t>
        </is>
      </c>
      <c r="C34" s="18" t="inlineStr">
        <is>
          <t>ollama_http</t>
        </is>
      </c>
      <c r="D34" s="18" t="inlineStr">
        <is>
          <t>operations_first_pack_2026-06-07</t>
        </is>
      </c>
      <c r="E34" s="18" t="inlineStr">
        <is>
          <t>full_business_operations</t>
        </is>
      </c>
      <c r="F34" s="18" t="n">
        <v>1</v>
      </c>
      <c r="G34" s="18" t="n">
        <v>0</v>
      </c>
      <c r="H34" s="18" t="n">
        <v>0</v>
      </c>
      <c r="I34" s="18" t="inlineStr"/>
      <c r="J34" s="18" t="n"/>
      <c r="K34" s="18" t="inlineStr">
        <is>
          <t>{"unavailable_or_timeout": 1}</t>
        </is>
      </c>
      <c r="L34" s="18" t="inlineStr">
        <is>
          <t>C:\Users\Couch\Documents\Claude\Projects\Home of Claude - MSI Auto Project\orchestrator_contracts\local_model_operation_scores_2026-06-07.json</t>
        </is>
      </c>
      <c r="M34" s="18" t="inlineStr">
        <is>
          <t>Domain score from deterministic fixture validator.</t>
        </is>
      </c>
    </row>
    <row r="35">
      <c r="A35" s="18" t="inlineStr">
        <is>
          <t>operation_domain</t>
        </is>
      </c>
      <c r="B35" s="18" t="inlineStr">
        <is>
          <t>deepseek-coder-v2:latest</t>
        </is>
      </c>
      <c r="C35" s="18" t="inlineStr">
        <is>
          <t>ollama_http</t>
        </is>
      </c>
      <c r="D35" s="18" t="inlineStr">
        <is>
          <t>operations_first_pack_2026-06-07</t>
        </is>
      </c>
      <c r="E35" s="18" t="inlineStr">
        <is>
          <t>market_forecasting_backtest</t>
        </is>
      </c>
      <c r="F35" s="18" t="n">
        <v>1</v>
      </c>
      <c r="G35" s="18" t="n">
        <v>0</v>
      </c>
      <c r="H35" s="18" t="n">
        <v>0</v>
      </c>
      <c r="I35" s="18" t="inlineStr"/>
      <c r="J35" s="18" t="n"/>
      <c r="K35" s="18" t="inlineStr">
        <is>
          <t>{"unavailable_or_timeout": 1}</t>
        </is>
      </c>
      <c r="L35" s="18" t="inlineStr">
        <is>
          <t>C:\Users\Couch\Documents\Claude\Projects\Home of Claude - MSI Auto Project\orchestrator_contracts\local_model_operation_scores_2026-06-07.json</t>
        </is>
      </c>
      <c r="M35" s="18" t="inlineStr">
        <is>
          <t>Domain score from deterministic fixture validator.</t>
        </is>
      </c>
    </row>
    <row r="36">
      <c r="A36" s="18" t="inlineStr">
        <is>
          <t>operation_domain</t>
        </is>
      </c>
      <c r="B36" s="18" t="inlineStr">
        <is>
          <t>deepseek-coder-v2:latest</t>
        </is>
      </c>
      <c r="C36" s="18" t="inlineStr">
        <is>
          <t>ollama_http</t>
        </is>
      </c>
      <c r="D36" s="18" t="inlineStr">
        <is>
          <t>operations_first_pack_2026-06-07</t>
        </is>
      </c>
      <c r="E36" s="18" t="inlineStr">
        <is>
          <t>memory_context_management</t>
        </is>
      </c>
      <c r="F36" s="18" t="n">
        <v>1</v>
      </c>
      <c r="G36" s="18" t="n">
        <v>0</v>
      </c>
      <c r="H36" s="18" t="n">
        <v>0</v>
      </c>
      <c r="I36" s="18" t="inlineStr"/>
      <c r="J36" s="18" t="n"/>
      <c r="K36" s="18" t="inlineStr">
        <is>
          <t>{"unavailable_or_timeout": 1}</t>
        </is>
      </c>
      <c r="L36" s="18" t="inlineStr">
        <is>
          <t>C:\Users\Couch\Documents\Claude\Projects\Home of Claude - MSI Auto Project\orchestrator_contracts\local_model_operation_scores_2026-06-07.json</t>
        </is>
      </c>
      <c r="M36" s="18" t="inlineStr">
        <is>
          <t>Domain score from deterministic fixture validator.</t>
        </is>
      </c>
    </row>
    <row r="37">
      <c r="A37" s="18" t="inlineStr">
        <is>
          <t>operation_domain</t>
        </is>
      </c>
      <c r="B37" s="18" t="inlineStr">
        <is>
          <t>deepseek-coder-v2:latest</t>
        </is>
      </c>
      <c r="C37" s="18" t="inlineStr">
        <is>
          <t>ollama_http</t>
        </is>
      </c>
      <c r="D37" s="18" t="inlineStr">
        <is>
          <t>operations_first_pack_2026-06-07</t>
        </is>
      </c>
      <c r="E37" s="18" t="inlineStr">
        <is>
          <t>model_to_model_orchestration</t>
        </is>
      </c>
      <c r="F37" s="18" t="n">
        <v>1</v>
      </c>
      <c r="G37" s="18" t="n">
        <v>0</v>
      </c>
      <c r="H37" s="18" t="n">
        <v>0</v>
      </c>
      <c r="I37" s="18" t="inlineStr"/>
      <c r="J37" s="18" t="n"/>
      <c r="K37" s="18" t="inlineStr">
        <is>
          <t>{"unavailable_or_timeout": 1}</t>
        </is>
      </c>
      <c r="L37" s="18" t="inlineStr">
        <is>
          <t>C:\Users\Couch\Documents\Claude\Projects\Home of Claude - MSI Auto Project\orchestrator_contracts\local_model_operation_scores_2026-06-07.json</t>
        </is>
      </c>
      <c r="M37" s="18" t="inlineStr">
        <is>
          <t>Domain score from deterministic fixture validator.</t>
        </is>
      </c>
    </row>
    <row r="38">
      <c r="A38" s="18" t="inlineStr">
        <is>
          <t>operation_domain</t>
        </is>
      </c>
      <c r="B38" s="18" t="inlineStr">
        <is>
          <t>deepseek-coder-v2:latest</t>
        </is>
      </c>
      <c r="C38" s="18" t="inlineStr">
        <is>
          <t>ollama_http</t>
        </is>
      </c>
      <c r="D38" s="18" t="inlineStr">
        <is>
          <t>operations_first_pack_2026-06-07</t>
        </is>
      </c>
      <c r="E38" s="18" t="inlineStr">
        <is>
          <t>multi_agent_decomposition</t>
        </is>
      </c>
      <c r="F38" s="18" t="n">
        <v>1</v>
      </c>
      <c r="G38" s="18" t="n">
        <v>0</v>
      </c>
      <c r="H38" s="18" t="n">
        <v>0</v>
      </c>
      <c r="I38" s="18" t="inlineStr"/>
      <c r="J38" s="18" t="n"/>
      <c r="K38" s="18" t="inlineStr">
        <is>
          <t>{"unavailable_or_timeout": 1}</t>
        </is>
      </c>
      <c r="L38" s="18" t="inlineStr">
        <is>
          <t>C:\Users\Couch\Documents\Claude\Projects\Home of Claude - MSI Auto Project\orchestrator_contracts\local_model_operation_scores_2026-06-07.json</t>
        </is>
      </c>
      <c r="M38" s="18" t="inlineStr">
        <is>
          <t>Domain score from deterministic fixture validator.</t>
        </is>
      </c>
    </row>
    <row r="39">
      <c r="A39" s="18" t="inlineStr">
        <is>
          <t>operation_domain</t>
        </is>
      </c>
      <c r="B39" s="18" t="inlineStr">
        <is>
          <t>deepseek-coder-v2:latest</t>
        </is>
      </c>
      <c r="C39" s="18" t="inlineStr">
        <is>
          <t>ollama_http</t>
        </is>
      </c>
      <c r="D39" s="18" t="inlineStr">
        <is>
          <t>operations_first_pack_2026-06-07</t>
        </is>
      </c>
      <c r="E39" s="18" t="inlineStr">
        <is>
          <t>public_content_law</t>
        </is>
      </c>
      <c r="F39" s="18" t="n">
        <v>1</v>
      </c>
      <c r="G39" s="18" t="n">
        <v>0</v>
      </c>
      <c r="H39" s="18" t="n">
        <v>0</v>
      </c>
      <c r="I39" s="18" t="inlineStr"/>
      <c r="J39" s="18" t="n"/>
      <c r="K39" s="18" t="inlineStr">
        <is>
          <t>{"unavailable_or_timeout": 1}</t>
        </is>
      </c>
      <c r="L39" s="18" t="inlineStr">
        <is>
          <t>C:\Users\Couch\Documents\Claude\Projects\Home of Claude - MSI Auto Project\orchestrator_contracts\local_model_operation_scores_2026-06-07.json</t>
        </is>
      </c>
      <c r="M39" s="18" t="inlineStr">
        <is>
          <t>Domain score from deterministic fixture validator.</t>
        </is>
      </c>
    </row>
    <row r="40">
      <c r="A40" s="18" t="inlineStr">
        <is>
          <t>operation_domain</t>
        </is>
      </c>
      <c r="B40" s="18" t="inlineStr">
        <is>
          <t>deepseek-coder-v2:latest</t>
        </is>
      </c>
      <c r="C40" s="18" t="inlineStr">
        <is>
          <t>ollama_http</t>
        </is>
      </c>
      <c r="D40" s="18" t="inlineStr">
        <is>
          <t>operations_first_pack_2026-06-07</t>
        </is>
      </c>
      <c r="E40" s="18" t="inlineStr">
        <is>
          <t>regex_pattern_creation</t>
        </is>
      </c>
      <c r="F40" s="18" t="n">
        <v>1</v>
      </c>
      <c r="G40" s="18" t="n">
        <v>0</v>
      </c>
      <c r="H40" s="18" t="n">
        <v>0</v>
      </c>
      <c r="I40" s="18" t="inlineStr"/>
      <c r="J40" s="18" t="n"/>
      <c r="K40" s="18" t="inlineStr">
        <is>
          <t>{"unavailable_or_timeout": 1}</t>
        </is>
      </c>
      <c r="L40" s="18" t="inlineStr">
        <is>
          <t>C:\Users\Couch\Documents\Claude\Projects\Home of Claude - MSI Auto Project\orchestrator_contracts\local_model_operation_scores_2026-06-07.json</t>
        </is>
      </c>
      <c r="M40" s="18" t="inlineStr">
        <is>
          <t>Domain score from deterministic fixture validator.</t>
        </is>
      </c>
    </row>
    <row r="41">
      <c r="A41" s="18" t="inlineStr">
        <is>
          <t>operation_domain</t>
        </is>
      </c>
      <c r="B41" s="18" t="inlineStr">
        <is>
          <t>deepseek-coder-v2:latest</t>
        </is>
      </c>
      <c r="C41" s="18" t="inlineStr">
        <is>
          <t>ollama_http</t>
        </is>
      </c>
      <c r="D41" s="18" t="inlineStr">
        <is>
          <t>operations_first_pack_2026-06-07</t>
        </is>
      </c>
      <c r="E41" s="18" t="inlineStr">
        <is>
          <t>role_based_task_execution</t>
        </is>
      </c>
      <c r="F41" s="18" t="n">
        <v>1</v>
      </c>
      <c r="G41" s="18" t="n">
        <v>0</v>
      </c>
      <c r="H41" s="18" t="n">
        <v>0</v>
      </c>
      <c r="I41" s="18" t="inlineStr"/>
      <c r="J41" s="18" t="n"/>
      <c r="K41" s="18" t="inlineStr">
        <is>
          <t>{"unavailable_or_timeout": 1}</t>
        </is>
      </c>
      <c r="L41" s="18" t="inlineStr">
        <is>
          <t>C:\Users\Couch\Documents\Claude\Projects\Home of Claude - MSI Auto Project\orchestrator_contracts\local_model_operation_scores_2026-06-07.json</t>
        </is>
      </c>
      <c r="M41" s="18" t="inlineStr">
        <is>
          <t>Domain score from deterministic fixture validator.</t>
        </is>
      </c>
    </row>
    <row r="42">
      <c r="A42" s="18" t="inlineStr">
        <is>
          <t>operation_overall</t>
        </is>
      </c>
      <c r="B42" s="18" t="inlineStr">
        <is>
          <t>deepseek-r1:8b</t>
        </is>
      </c>
      <c r="C42" s="18" t="inlineStr">
        <is>
          <t>ollama_http</t>
        </is>
      </c>
      <c r="D42" s="18" t="inlineStr">
        <is>
          <t>operations_first_pack_2026-06-07</t>
        </is>
      </c>
      <c r="E42" s="18" t="inlineStr">
        <is>
          <t>all_operation_domains</t>
        </is>
      </c>
      <c r="F42" s="18" t="n">
        <v>13</v>
      </c>
      <c r="G42" s="18" t="n">
        <v>0</v>
      </c>
      <c r="H42" s="18" t="n">
        <v>0</v>
      </c>
      <c r="I42" s="18" t="inlineStr"/>
      <c r="J42" s="18" t="n">
        <v>119957.3</v>
      </c>
      <c r="K42" s="18" t="inlineStr">
        <is>
          <t>{"empty_content": 3, "unavailable_or_timeout": 10}</t>
        </is>
      </c>
      <c r="L42" s="18" t="inlineStr">
        <is>
          <t>C:\Users\Couch\Documents\Claude\Projects\Home of Claude - MSI Auto Project\orchestrator_contracts\local_model_operation_scores_2026-06-07.json</t>
        </is>
      </c>
      <c r="M42" s="18" t="inlineStr">
        <is>
          <t>Strict one-trial operation fixture matrix; route only where validators pass.</t>
        </is>
      </c>
    </row>
    <row r="43">
      <c r="A43" s="18" t="inlineStr">
        <is>
          <t>operation_domain</t>
        </is>
      </c>
      <c r="B43" s="18" t="inlineStr">
        <is>
          <t>deepseek-r1:8b</t>
        </is>
      </c>
      <c r="C43" s="18" t="inlineStr">
        <is>
          <t>ollama_http</t>
        </is>
      </c>
      <c r="D43" s="18" t="inlineStr">
        <is>
          <t>operations_first_pack_2026-06-07</t>
        </is>
      </c>
      <c r="E43" s="18" t="inlineStr">
        <is>
          <t>compliance_policy</t>
        </is>
      </c>
      <c r="F43" s="18" t="n">
        <v>1</v>
      </c>
      <c r="G43" s="18" t="n">
        <v>0</v>
      </c>
      <c r="H43" s="18" t="n">
        <v>0</v>
      </c>
      <c r="I43" s="18" t="inlineStr"/>
      <c r="J43" s="18" t="n"/>
      <c r="K43" s="18" t="inlineStr">
        <is>
          <t>{"unavailable_or_timeout": 1}</t>
        </is>
      </c>
      <c r="L43" s="18" t="inlineStr">
        <is>
          <t>C:\Users\Couch\Documents\Claude\Projects\Home of Claude - MSI Auto Project\orchestrator_contracts\local_model_operation_scores_2026-06-07.json</t>
        </is>
      </c>
      <c r="M43" s="18" t="inlineStr">
        <is>
          <t>Domain score from deterministic fixture validator.</t>
        </is>
      </c>
    </row>
    <row r="44">
      <c r="A44" s="18" t="inlineStr">
        <is>
          <t>operation_domain</t>
        </is>
      </c>
      <c r="B44" s="18" t="inlineStr">
        <is>
          <t>deepseek-r1:8b</t>
        </is>
      </c>
      <c r="C44" s="18" t="inlineStr">
        <is>
          <t>ollama_http</t>
        </is>
      </c>
      <c r="D44" s="18" t="inlineStr">
        <is>
          <t>operations_first_pack_2026-06-07</t>
        </is>
      </c>
      <c r="E44" s="18" t="inlineStr">
        <is>
          <t>computer_control_app_use</t>
        </is>
      </c>
      <c r="F44" s="18" t="n">
        <v>1</v>
      </c>
      <c r="G44" s="18" t="n">
        <v>0</v>
      </c>
      <c r="H44" s="18" t="n">
        <v>0</v>
      </c>
      <c r="I44" s="18" t="inlineStr"/>
      <c r="J44" s="18" t="n"/>
      <c r="K44" s="18" t="inlineStr">
        <is>
          <t>{"unavailable_or_timeout": 1}</t>
        </is>
      </c>
      <c r="L44" s="18" t="inlineStr">
        <is>
          <t>C:\Users\Couch\Documents\Claude\Projects\Home of Claude - MSI Auto Project\orchestrator_contracts\local_model_operation_scores_2026-06-07.json</t>
        </is>
      </c>
      <c r="M44" s="18" t="inlineStr">
        <is>
          <t>Domain score from deterministic fixture validator.</t>
        </is>
      </c>
    </row>
    <row r="45">
      <c r="A45" s="18" t="inlineStr">
        <is>
          <t>operation_domain</t>
        </is>
      </c>
      <c r="B45" s="18" t="inlineStr">
        <is>
          <t>deepseek-r1:8b</t>
        </is>
      </c>
      <c r="C45" s="18" t="inlineStr">
        <is>
          <t>ollama_http</t>
        </is>
      </c>
      <c r="D45" s="18" t="inlineStr">
        <is>
          <t>operations_first_pack_2026-06-07</t>
        </is>
      </c>
      <c r="E45" s="18" t="inlineStr">
        <is>
          <t>conceptualization_strategy</t>
        </is>
      </c>
      <c r="F45" s="18" t="n">
        <v>1</v>
      </c>
      <c r="G45" s="18" t="n">
        <v>0</v>
      </c>
      <c r="H45" s="18" t="n">
        <v>0</v>
      </c>
      <c r="I45" s="18" t="inlineStr"/>
      <c r="J45" s="18" t="n"/>
      <c r="K45" s="18" t="inlineStr">
        <is>
          <t>{"unavailable_or_timeout": 1}</t>
        </is>
      </c>
      <c r="L45" s="18" t="inlineStr">
        <is>
          <t>C:\Users\Couch\Documents\Claude\Projects\Home of Claude - MSI Auto Project\orchestrator_contracts\local_model_operation_scores_2026-06-07.json</t>
        </is>
      </c>
      <c r="M45" s="18" t="inlineStr">
        <is>
          <t>Domain score from deterministic fixture validator.</t>
        </is>
      </c>
    </row>
    <row r="46">
      <c r="A46" s="18" t="inlineStr">
        <is>
          <t>operation_domain</t>
        </is>
      </c>
      <c r="B46" s="18" t="inlineStr">
        <is>
          <t>deepseek-r1:8b</t>
        </is>
      </c>
      <c r="C46" s="18" t="inlineStr">
        <is>
          <t>ollama_http</t>
        </is>
      </c>
      <c r="D46" s="18" t="inlineStr">
        <is>
          <t>operations_first_pack_2026-06-07</t>
        </is>
      </c>
      <c r="E46" s="18" t="inlineStr">
        <is>
          <t>data_analytics_kpi_diagnostics</t>
        </is>
      </c>
      <c r="F46" s="18" t="n">
        <v>1</v>
      </c>
      <c r="G46" s="18" t="n">
        <v>0</v>
      </c>
      <c r="H46" s="18" t="n">
        <v>0</v>
      </c>
      <c r="I46" s="18" t="inlineStr"/>
      <c r="J46" s="18" t="n"/>
      <c r="K46" s="18" t="inlineStr">
        <is>
          <t>{"unavailable_or_timeout": 1}</t>
        </is>
      </c>
      <c r="L46" s="18" t="inlineStr">
        <is>
          <t>C:\Users\Couch\Documents\Claude\Projects\Home of Claude - MSI Auto Project\orchestrator_contracts\local_model_operation_scores_2026-06-07.json</t>
        </is>
      </c>
      <c r="M46" s="18" t="inlineStr">
        <is>
          <t>Domain score from deterministic fixture validator.</t>
        </is>
      </c>
    </row>
    <row r="47">
      <c r="A47" s="18" t="inlineStr">
        <is>
          <t>operation_domain</t>
        </is>
      </c>
      <c r="B47" s="18" t="inlineStr">
        <is>
          <t>deepseek-r1:8b</t>
        </is>
      </c>
      <c r="C47" s="18" t="inlineStr">
        <is>
          <t>ollama_http</t>
        </is>
      </c>
      <c r="D47" s="18" t="inlineStr">
        <is>
          <t>operations_first_pack_2026-06-07</t>
        </is>
      </c>
      <c r="E47" s="18" t="inlineStr">
        <is>
          <t>financial_operations</t>
        </is>
      </c>
      <c r="F47" s="18" t="n">
        <v>1</v>
      </c>
      <c r="G47" s="18" t="n">
        <v>0</v>
      </c>
      <c r="H47" s="18" t="n">
        <v>0</v>
      </c>
      <c r="I47" s="18" t="inlineStr"/>
      <c r="J47" s="18" t="n"/>
      <c r="K47" s="18" t="inlineStr">
        <is>
          <t>{"unavailable_or_timeout": 1}</t>
        </is>
      </c>
      <c r="L47" s="18" t="inlineStr">
        <is>
          <t>C:\Users\Couch\Documents\Claude\Projects\Home of Claude - MSI Auto Project\orchestrator_contracts\local_model_operation_scores_2026-06-07.json</t>
        </is>
      </c>
      <c r="M47" s="18" t="inlineStr">
        <is>
          <t>Domain score from deterministic fixture validator.</t>
        </is>
      </c>
    </row>
    <row r="48">
      <c r="A48" s="18" t="inlineStr">
        <is>
          <t>operation_domain</t>
        </is>
      </c>
      <c r="B48" s="18" t="inlineStr">
        <is>
          <t>deepseek-r1:8b</t>
        </is>
      </c>
      <c r="C48" s="18" t="inlineStr">
        <is>
          <t>ollama_http</t>
        </is>
      </c>
      <c r="D48" s="18" t="inlineStr">
        <is>
          <t>operations_first_pack_2026-06-07</t>
        </is>
      </c>
      <c r="E48" s="18" t="inlineStr">
        <is>
          <t>full_business_operations</t>
        </is>
      </c>
      <c r="F48" s="18" t="n">
        <v>1</v>
      </c>
      <c r="G48" s="18" t="n">
        <v>0</v>
      </c>
      <c r="H48" s="18" t="n">
        <v>0</v>
      </c>
      <c r="I48" s="18" t="inlineStr"/>
      <c r="J48" s="18" t="n">
        <v>121613.2</v>
      </c>
      <c r="K48" s="18" t="inlineStr">
        <is>
          <t>{"empty_content": 1}</t>
        </is>
      </c>
      <c r="L48" s="18" t="inlineStr">
        <is>
          <t>C:\Users\Couch\Documents\Claude\Projects\Home of Claude - MSI Auto Project\orchestrator_contracts\local_model_operation_scores_2026-06-07.json</t>
        </is>
      </c>
      <c r="M48" s="18" t="inlineStr">
        <is>
          <t>Domain score from deterministic fixture validator.</t>
        </is>
      </c>
    </row>
    <row r="49">
      <c r="A49" s="18" t="inlineStr">
        <is>
          <t>operation_domain</t>
        </is>
      </c>
      <c r="B49" s="18" t="inlineStr">
        <is>
          <t>deepseek-r1:8b</t>
        </is>
      </c>
      <c r="C49" s="18" t="inlineStr">
        <is>
          <t>ollama_http</t>
        </is>
      </c>
      <c r="D49" s="18" t="inlineStr">
        <is>
          <t>operations_first_pack_2026-06-07</t>
        </is>
      </c>
      <c r="E49" s="18" t="inlineStr">
        <is>
          <t>market_forecasting_backtest</t>
        </is>
      </c>
      <c r="F49" s="18" t="n">
        <v>1</v>
      </c>
      <c r="G49" s="18" t="n">
        <v>0</v>
      </c>
      <c r="H49" s="18" t="n">
        <v>0</v>
      </c>
      <c r="I49" s="18" t="inlineStr"/>
      <c r="J49" s="18" t="n"/>
      <c r="K49" s="18" t="inlineStr">
        <is>
          <t>{"unavailable_or_timeout": 1}</t>
        </is>
      </c>
      <c r="L49" s="18" t="inlineStr">
        <is>
          <t>C:\Users\Couch\Documents\Claude\Projects\Home of Claude - MSI Auto Project\orchestrator_contracts\local_model_operation_scores_2026-06-07.json</t>
        </is>
      </c>
      <c r="M49" s="18" t="inlineStr">
        <is>
          <t>Domain score from deterministic fixture validator.</t>
        </is>
      </c>
    </row>
    <row r="50">
      <c r="A50" s="18" t="inlineStr">
        <is>
          <t>operation_domain</t>
        </is>
      </c>
      <c r="B50" s="18" t="inlineStr">
        <is>
          <t>deepseek-r1:8b</t>
        </is>
      </c>
      <c r="C50" s="18" t="inlineStr">
        <is>
          <t>ollama_http</t>
        </is>
      </c>
      <c r="D50" s="18" t="inlineStr">
        <is>
          <t>operations_first_pack_2026-06-07</t>
        </is>
      </c>
      <c r="E50" s="18" t="inlineStr">
        <is>
          <t>memory_context_management</t>
        </is>
      </c>
      <c r="F50" s="18" t="n">
        <v>1</v>
      </c>
      <c r="G50" s="18" t="n">
        <v>0</v>
      </c>
      <c r="H50" s="18" t="n">
        <v>0</v>
      </c>
      <c r="I50" s="18" t="inlineStr"/>
      <c r="J50" s="18" t="n"/>
      <c r="K50" s="18" t="inlineStr">
        <is>
          <t>{"unavailable_or_timeout": 1}</t>
        </is>
      </c>
      <c r="L50" s="18" t="inlineStr">
        <is>
          <t>C:\Users\Couch\Documents\Claude\Projects\Home of Claude - MSI Auto Project\orchestrator_contracts\local_model_operation_scores_2026-06-07.json</t>
        </is>
      </c>
      <c r="M50" s="18" t="inlineStr">
        <is>
          <t>Domain score from deterministic fixture validator.</t>
        </is>
      </c>
    </row>
    <row r="51">
      <c r="A51" s="18" t="inlineStr">
        <is>
          <t>operation_domain</t>
        </is>
      </c>
      <c r="B51" s="18" t="inlineStr">
        <is>
          <t>deepseek-r1:8b</t>
        </is>
      </c>
      <c r="C51" s="18" t="inlineStr">
        <is>
          <t>ollama_http</t>
        </is>
      </c>
      <c r="D51" s="18" t="inlineStr">
        <is>
          <t>operations_first_pack_2026-06-07</t>
        </is>
      </c>
      <c r="E51" s="18" t="inlineStr">
        <is>
          <t>model_to_model_orchestration</t>
        </is>
      </c>
      <c r="F51" s="18" t="n">
        <v>1</v>
      </c>
      <c r="G51" s="18" t="n">
        <v>0</v>
      </c>
      <c r="H51" s="18" t="n">
        <v>0</v>
      </c>
      <c r="I51" s="18" t="inlineStr"/>
      <c r="J51" s="18" t="n"/>
      <c r="K51" s="18" t="inlineStr">
        <is>
          <t>{"unavailable_or_timeout": 1}</t>
        </is>
      </c>
      <c r="L51" s="18" t="inlineStr">
        <is>
          <t>C:\Users\Couch\Documents\Claude\Projects\Home of Claude - MSI Auto Project\orchestrator_contracts\local_model_operation_scores_2026-06-07.json</t>
        </is>
      </c>
      <c r="M51" s="18" t="inlineStr">
        <is>
          <t>Domain score from deterministic fixture validator.</t>
        </is>
      </c>
    </row>
    <row r="52">
      <c r="A52" s="18" t="inlineStr">
        <is>
          <t>operation_domain</t>
        </is>
      </c>
      <c r="B52" s="18" t="inlineStr">
        <is>
          <t>deepseek-r1:8b</t>
        </is>
      </c>
      <c r="C52" s="18" t="inlineStr">
        <is>
          <t>ollama_http</t>
        </is>
      </c>
      <c r="D52" s="18" t="inlineStr">
        <is>
          <t>operations_first_pack_2026-06-07</t>
        </is>
      </c>
      <c r="E52" s="18" t="inlineStr">
        <is>
          <t>multi_agent_decomposition</t>
        </is>
      </c>
      <c r="F52" s="18" t="n">
        <v>1</v>
      </c>
      <c r="G52" s="18" t="n">
        <v>0</v>
      </c>
      <c r="H52" s="18" t="n">
        <v>0</v>
      </c>
      <c r="I52" s="18" t="inlineStr"/>
      <c r="J52" s="18" t="n"/>
      <c r="K52" s="18" t="inlineStr">
        <is>
          <t>{"unavailable_or_timeout": 1}</t>
        </is>
      </c>
      <c r="L52" s="18" t="inlineStr">
        <is>
          <t>C:\Users\Couch\Documents\Claude\Projects\Home of Claude - MSI Auto Project\orchestrator_contracts\local_model_operation_scores_2026-06-07.json</t>
        </is>
      </c>
      <c r="M52" s="18" t="inlineStr">
        <is>
          <t>Domain score from deterministic fixture validator.</t>
        </is>
      </c>
    </row>
    <row r="53">
      <c r="A53" s="18" t="inlineStr">
        <is>
          <t>operation_domain</t>
        </is>
      </c>
      <c r="B53" s="18" t="inlineStr">
        <is>
          <t>deepseek-r1:8b</t>
        </is>
      </c>
      <c r="C53" s="18" t="inlineStr">
        <is>
          <t>ollama_http</t>
        </is>
      </c>
      <c r="D53" s="18" t="inlineStr">
        <is>
          <t>operations_first_pack_2026-06-07</t>
        </is>
      </c>
      <c r="E53" s="18" t="inlineStr">
        <is>
          <t>public_content_law</t>
        </is>
      </c>
      <c r="F53" s="18" t="n">
        <v>1</v>
      </c>
      <c r="G53" s="18" t="n">
        <v>0</v>
      </c>
      <c r="H53" s="18" t="n">
        <v>0</v>
      </c>
      <c r="I53" s="18" t="inlineStr"/>
      <c r="J53" s="18" t="n"/>
      <c r="K53" s="18" t="inlineStr">
        <is>
          <t>{"unavailable_or_timeout": 1}</t>
        </is>
      </c>
      <c r="L53" s="18" t="inlineStr">
        <is>
          <t>C:\Users\Couch\Documents\Claude\Projects\Home of Claude - MSI Auto Project\orchestrator_contracts\local_model_operation_scores_2026-06-07.json</t>
        </is>
      </c>
      <c r="M53" s="18" t="inlineStr">
        <is>
          <t>Domain score from deterministic fixture validator.</t>
        </is>
      </c>
    </row>
    <row r="54">
      <c r="A54" s="18" t="inlineStr">
        <is>
          <t>operation_domain</t>
        </is>
      </c>
      <c r="B54" s="18" t="inlineStr">
        <is>
          <t>deepseek-r1:8b</t>
        </is>
      </c>
      <c r="C54" s="18" t="inlineStr">
        <is>
          <t>ollama_http</t>
        </is>
      </c>
      <c r="D54" s="18" t="inlineStr">
        <is>
          <t>operations_first_pack_2026-06-07</t>
        </is>
      </c>
      <c r="E54" s="18" t="inlineStr">
        <is>
          <t>regex_pattern_creation</t>
        </is>
      </c>
      <c r="F54" s="18" t="n">
        <v>1</v>
      </c>
      <c r="G54" s="18" t="n">
        <v>0</v>
      </c>
      <c r="H54" s="18" t="n">
        <v>0</v>
      </c>
      <c r="I54" s="18" t="inlineStr"/>
      <c r="J54" s="18" t="n">
        <v>116792.5</v>
      </c>
      <c r="K54" s="18" t="inlineStr">
        <is>
          <t>{"empty_content": 1}</t>
        </is>
      </c>
      <c r="L54" s="18" t="inlineStr">
        <is>
          <t>C:\Users\Couch\Documents\Claude\Projects\Home of Claude - MSI Auto Project\orchestrator_contracts\local_model_operation_scores_2026-06-07.json</t>
        </is>
      </c>
      <c r="M54" s="18" t="inlineStr">
        <is>
          <t>Domain score from deterministic fixture validator.</t>
        </is>
      </c>
    </row>
    <row r="55">
      <c r="A55" s="18" t="inlineStr">
        <is>
          <t>operation_domain</t>
        </is>
      </c>
      <c r="B55" s="18" t="inlineStr">
        <is>
          <t>deepseek-r1:8b</t>
        </is>
      </c>
      <c r="C55" s="18" t="inlineStr">
        <is>
          <t>ollama_http</t>
        </is>
      </c>
      <c r="D55" s="18" t="inlineStr">
        <is>
          <t>operations_first_pack_2026-06-07</t>
        </is>
      </c>
      <c r="E55" s="18" t="inlineStr">
        <is>
          <t>role_based_task_execution</t>
        </is>
      </c>
      <c r="F55" s="18" t="n">
        <v>1</v>
      </c>
      <c r="G55" s="18" t="n">
        <v>0</v>
      </c>
      <c r="H55" s="18" t="n">
        <v>0</v>
      </c>
      <c r="I55" s="18" t="inlineStr"/>
      <c r="J55" s="18" t="n">
        <v>121466.2</v>
      </c>
      <c r="K55" s="18" t="inlineStr">
        <is>
          <t>{"empty_content": 1}</t>
        </is>
      </c>
      <c r="L55" s="18" t="inlineStr">
        <is>
          <t>C:\Users\Couch\Documents\Claude\Projects\Home of Claude - MSI Auto Project\orchestrator_contracts\local_model_operation_scores_2026-06-07.json</t>
        </is>
      </c>
      <c r="M55" s="18" t="inlineStr">
        <is>
          <t>Domain score from deterministic fixture validator.</t>
        </is>
      </c>
    </row>
    <row r="56">
      <c r="A56" s="18" t="inlineStr">
        <is>
          <t>operation_overall</t>
        </is>
      </c>
      <c r="B56" s="18" t="inlineStr">
        <is>
          <t>gemma4:12b</t>
        </is>
      </c>
      <c r="C56" s="18" t="inlineStr">
        <is>
          <t>ollama_http</t>
        </is>
      </c>
      <c r="D56" s="18" t="inlineStr">
        <is>
          <t>operations_first_pack_2026-06-07</t>
        </is>
      </c>
      <c r="E56" s="18" t="inlineStr">
        <is>
          <t>all_operation_domains</t>
        </is>
      </c>
      <c r="F56" s="18" t="n">
        <v>13</v>
      </c>
      <c r="G56" s="18" t="n">
        <v>3</v>
      </c>
      <c r="H56" s="18" t="n">
        <v>0.2308</v>
      </c>
      <c r="I56" s="18" t="inlineStr"/>
      <c r="J56" s="18" t="n">
        <v>83137.89999999999</v>
      </c>
      <c r="K56" s="18" t="inlineStr">
        <is>
          <t>{"json_parse_error": 1, "validator_failure": 9}</t>
        </is>
      </c>
      <c r="L56" s="18" t="inlineStr">
        <is>
          <t>C:\Users\Couch\Documents\Claude\Projects\Home of Claude - MSI Auto Project\orchestrator_contracts\local_model_operation_scores_2026-06-07.json</t>
        </is>
      </c>
      <c r="M56" s="18" t="inlineStr">
        <is>
          <t>Strict one-trial operation fixture matrix; route only where validators pass.</t>
        </is>
      </c>
    </row>
    <row r="57">
      <c r="A57" s="18" t="inlineStr">
        <is>
          <t>operation_domain</t>
        </is>
      </c>
      <c r="B57" s="18" t="inlineStr">
        <is>
          <t>gemma4:12b</t>
        </is>
      </c>
      <c r="C57" s="18" t="inlineStr">
        <is>
          <t>ollama_http</t>
        </is>
      </c>
      <c r="D57" s="18" t="inlineStr">
        <is>
          <t>operations_first_pack_2026-06-07</t>
        </is>
      </c>
      <c r="E57" s="18" t="inlineStr">
        <is>
          <t>compliance_policy</t>
        </is>
      </c>
      <c r="F57" s="18" t="n">
        <v>1</v>
      </c>
      <c r="G57" s="18" t="n">
        <v>0</v>
      </c>
      <c r="H57" s="18" t="n">
        <v>0</v>
      </c>
      <c r="I57" s="18" t="inlineStr"/>
      <c r="J57" s="18" t="n">
        <v>94635.89999999999</v>
      </c>
      <c r="K57" s="18" t="inlineStr">
        <is>
          <t>{"validator_failure": 1}</t>
        </is>
      </c>
      <c r="L57" s="18" t="inlineStr">
        <is>
          <t>C:\Users\Couch\Documents\Claude\Projects\Home of Claude - MSI Auto Project\orchestrator_contracts\local_model_operation_scores_2026-06-07.json</t>
        </is>
      </c>
      <c r="M57" s="18" t="inlineStr">
        <is>
          <t>Domain score from deterministic fixture validator.</t>
        </is>
      </c>
    </row>
    <row r="58">
      <c r="A58" s="18" t="inlineStr">
        <is>
          <t>operation_domain</t>
        </is>
      </c>
      <c r="B58" s="18" t="inlineStr">
        <is>
          <t>gemma4:12b</t>
        </is>
      </c>
      <c r="C58" s="18" t="inlineStr">
        <is>
          <t>ollama_http</t>
        </is>
      </c>
      <c r="D58" s="18" t="inlineStr">
        <is>
          <t>operations_first_pack_2026-06-07</t>
        </is>
      </c>
      <c r="E58" s="18" t="inlineStr">
        <is>
          <t>computer_control_app_use</t>
        </is>
      </c>
      <c r="F58" s="18" t="n">
        <v>1</v>
      </c>
      <c r="G58" s="18" t="n">
        <v>0</v>
      </c>
      <c r="H58" s="18" t="n">
        <v>0</v>
      </c>
      <c r="I58" s="18" t="inlineStr"/>
      <c r="J58" s="18" t="n">
        <v>87631.7</v>
      </c>
      <c r="K58" s="18" t="inlineStr">
        <is>
          <t>{"validator_failure": 1}</t>
        </is>
      </c>
      <c r="L58" s="18" t="inlineStr">
        <is>
          <t>C:\Users\Couch\Documents\Claude\Projects\Home of Claude - MSI Auto Project\orchestrator_contracts\local_model_operation_scores_2026-06-07.json</t>
        </is>
      </c>
      <c r="M58" s="18" t="inlineStr">
        <is>
          <t>Domain score from deterministic fixture validator.</t>
        </is>
      </c>
    </row>
    <row r="59">
      <c r="A59" s="18" t="inlineStr">
        <is>
          <t>operation_domain</t>
        </is>
      </c>
      <c r="B59" s="18" t="inlineStr">
        <is>
          <t>gemma4:12b</t>
        </is>
      </c>
      <c r="C59" s="18" t="inlineStr">
        <is>
          <t>ollama_http</t>
        </is>
      </c>
      <c r="D59" s="18" t="inlineStr">
        <is>
          <t>operations_first_pack_2026-06-07</t>
        </is>
      </c>
      <c r="E59" s="18" t="inlineStr">
        <is>
          <t>conceptualization_strategy</t>
        </is>
      </c>
      <c r="F59" s="18" t="n">
        <v>1</v>
      </c>
      <c r="G59" s="18" t="n">
        <v>0</v>
      </c>
      <c r="H59" s="18" t="n">
        <v>0</v>
      </c>
      <c r="I59" s="18" t="inlineStr"/>
      <c r="J59" s="18" t="n">
        <v>90620.89999999999</v>
      </c>
      <c r="K59" s="18" t="inlineStr">
        <is>
          <t>{"validator_failure": 1}</t>
        </is>
      </c>
      <c r="L59" s="18" t="inlineStr">
        <is>
          <t>C:\Users\Couch\Documents\Claude\Projects\Home of Claude - MSI Auto Project\orchestrator_contracts\local_model_operation_scores_2026-06-07.json</t>
        </is>
      </c>
      <c r="M59" s="18" t="inlineStr">
        <is>
          <t>Domain score from deterministic fixture validator.</t>
        </is>
      </c>
    </row>
    <row r="60">
      <c r="A60" s="18" t="inlineStr">
        <is>
          <t>operation_domain</t>
        </is>
      </c>
      <c r="B60" s="18" t="inlineStr">
        <is>
          <t>gemma4:12b</t>
        </is>
      </c>
      <c r="C60" s="18" t="inlineStr">
        <is>
          <t>ollama_http</t>
        </is>
      </c>
      <c r="D60" s="18" t="inlineStr">
        <is>
          <t>operations_first_pack_2026-06-07</t>
        </is>
      </c>
      <c r="E60" s="18" t="inlineStr">
        <is>
          <t>data_analytics_kpi_diagnostics</t>
        </is>
      </c>
      <c r="F60" s="18" t="n">
        <v>1</v>
      </c>
      <c r="G60" s="18" t="n">
        <v>0</v>
      </c>
      <c r="H60" s="18" t="n">
        <v>0</v>
      </c>
      <c r="I60" s="18" t="inlineStr"/>
      <c r="J60" s="18" t="n">
        <v>55838.5</v>
      </c>
      <c r="K60" s="18" t="inlineStr">
        <is>
          <t>{"validator_failure": 1}</t>
        </is>
      </c>
      <c r="L60" s="18" t="inlineStr">
        <is>
          <t>C:\Users\Couch\Documents\Claude\Projects\Home of Claude - MSI Auto Project\orchestrator_contracts\local_model_operation_scores_2026-06-07.json</t>
        </is>
      </c>
      <c r="M60" s="18" t="inlineStr">
        <is>
          <t>Domain score from deterministic fixture validator.</t>
        </is>
      </c>
    </row>
    <row r="61">
      <c r="A61" s="18" t="inlineStr">
        <is>
          <t>operation_domain</t>
        </is>
      </c>
      <c r="B61" s="18" t="inlineStr">
        <is>
          <t>gemma4:12b</t>
        </is>
      </c>
      <c r="C61" s="18" t="inlineStr">
        <is>
          <t>ollama_http</t>
        </is>
      </c>
      <c r="D61" s="18" t="inlineStr">
        <is>
          <t>operations_first_pack_2026-06-07</t>
        </is>
      </c>
      <c r="E61" s="18" t="inlineStr">
        <is>
          <t>financial_operations</t>
        </is>
      </c>
      <c r="F61" s="18" t="n">
        <v>1</v>
      </c>
      <c r="G61" s="18" t="n">
        <v>1</v>
      </c>
      <c r="H61" s="18" t="n">
        <v>1</v>
      </c>
      <c r="I61" s="18" t="inlineStr"/>
      <c r="J61" s="18" t="n">
        <v>76761.7</v>
      </c>
      <c r="K61" s="18" t="inlineStr">
        <is>
          <t>{}</t>
        </is>
      </c>
      <c r="L61" s="18" t="inlineStr">
        <is>
          <t>C:\Users\Couch\Documents\Claude\Projects\Home of Claude - MSI Auto Project\orchestrator_contracts\local_model_operation_scores_2026-06-07.json</t>
        </is>
      </c>
      <c r="M61" s="18" t="inlineStr">
        <is>
          <t>Domain score from deterministic fixture validator.</t>
        </is>
      </c>
    </row>
    <row r="62">
      <c r="A62" s="18" t="inlineStr">
        <is>
          <t>operation_domain</t>
        </is>
      </c>
      <c r="B62" s="18" t="inlineStr">
        <is>
          <t>gemma4:12b</t>
        </is>
      </c>
      <c r="C62" s="18" t="inlineStr">
        <is>
          <t>ollama_http</t>
        </is>
      </c>
      <c r="D62" s="18" t="inlineStr">
        <is>
          <t>operations_first_pack_2026-06-07</t>
        </is>
      </c>
      <c r="E62" s="18" t="inlineStr">
        <is>
          <t>full_business_operations</t>
        </is>
      </c>
      <c r="F62" s="18" t="n">
        <v>1</v>
      </c>
      <c r="G62" s="18" t="n">
        <v>0</v>
      </c>
      <c r="H62" s="18" t="n">
        <v>0</v>
      </c>
      <c r="I62" s="18" t="inlineStr"/>
      <c r="J62" s="18" t="n">
        <v>67425.39999999999</v>
      </c>
      <c r="K62" s="18" t="inlineStr">
        <is>
          <t>{"validator_failure": 1}</t>
        </is>
      </c>
      <c r="L62" s="18" t="inlineStr">
        <is>
          <t>C:\Users\Couch\Documents\Claude\Projects\Home of Claude - MSI Auto Project\orchestrator_contracts\local_model_operation_scores_2026-06-07.json</t>
        </is>
      </c>
      <c r="M62" s="18" t="inlineStr">
        <is>
          <t>Domain score from deterministic fixture validator.</t>
        </is>
      </c>
    </row>
    <row r="63">
      <c r="A63" s="18" t="inlineStr">
        <is>
          <t>operation_domain</t>
        </is>
      </c>
      <c r="B63" s="18" t="inlineStr">
        <is>
          <t>gemma4:12b</t>
        </is>
      </c>
      <c r="C63" s="18" t="inlineStr">
        <is>
          <t>ollama_http</t>
        </is>
      </c>
      <c r="D63" s="18" t="inlineStr">
        <is>
          <t>operations_first_pack_2026-06-07</t>
        </is>
      </c>
      <c r="E63" s="18" t="inlineStr">
        <is>
          <t>market_forecasting_backtest</t>
        </is>
      </c>
      <c r="F63" s="18" t="n">
        <v>1</v>
      </c>
      <c r="G63" s="18" t="n">
        <v>0</v>
      </c>
      <c r="H63" s="18" t="n">
        <v>0</v>
      </c>
      <c r="I63" s="18" t="inlineStr"/>
      <c r="J63" s="18" t="n">
        <v>139395.1</v>
      </c>
      <c r="K63" s="18" t="inlineStr">
        <is>
          <t>{"json_parse_error": 1}</t>
        </is>
      </c>
      <c r="L63" s="18" t="inlineStr">
        <is>
          <t>C:\Users\Couch\Documents\Claude\Projects\Home of Claude - MSI Auto Project\orchestrator_contracts\local_model_operation_scores_2026-06-07.json</t>
        </is>
      </c>
      <c r="M63" s="18" t="inlineStr">
        <is>
          <t>Domain score from deterministic fixture validator.</t>
        </is>
      </c>
    </row>
    <row r="64">
      <c r="A64" s="18" t="inlineStr">
        <is>
          <t>operation_domain</t>
        </is>
      </c>
      <c r="B64" s="18" t="inlineStr">
        <is>
          <t>gemma4:12b</t>
        </is>
      </c>
      <c r="C64" s="18" t="inlineStr">
        <is>
          <t>ollama_http</t>
        </is>
      </c>
      <c r="D64" s="18" t="inlineStr">
        <is>
          <t>operations_first_pack_2026-06-07</t>
        </is>
      </c>
      <c r="E64" s="18" t="inlineStr">
        <is>
          <t>memory_context_management</t>
        </is>
      </c>
      <c r="F64" s="18" t="n">
        <v>1</v>
      </c>
      <c r="G64" s="18" t="n">
        <v>0</v>
      </c>
      <c r="H64" s="18" t="n">
        <v>0</v>
      </c>
      <c r="I64" s="18" t="inlineStr"/>
      <c r="J64" s="18" t="n">
        <v>69198.89999999999</v>
      </c>
      <c r="K64" s="18" t="inlineStr">
        <is>
          <t>{"validator_failure": 1}</t>
        </is>
      </c>
      <c r="L64" s="18" t="inlineStr">
        <is>
          <t>C:\Users\Couch\Documents\Claude\Projects\Home of Claude - MSI Auto Project\orchestrator_contracts\local_model_operation_scores_2026-06-07.json</t>
        </is>
      </c>
      <c r="M64" s="18" t="inlineStr">
        <is>
          <t>Domain score from deterministic fixture validator.</t>
        </is>
      </c>
    </row>
    <row r="65">
      <c r="A65" s="18" t="inlineStr">
        <is>
          <t>operation_domain</t>
        </is>
      </c>
      <c r="B65" s="18" t="inlineStr">
        <is>
          <t>gemma4:12b</t>
        </is>
      </c>
      <c r="C65" s="18" t="inlineStr">
        <is>
          <t>ollama_http</t>
        </is>
      </c>
      <c r="D65" s="18" t="inlineStr">
        <is>
          <t>operations_first_pack_2026-06-07</t>
        </is>
      </c>
      <c r="E65" s="18" t="inlineStr">
        <is>
          <t>model_to_model_orchestration</t>
        </is>
      </c>
      <c r="F65" s="18" t="n">
        <v>1</v>
      </c>
      <c r="G65" s="18" t="n">
        <v>0</v>
      </c>
      <c r="H65" s="18" t="n">
        <v>0</v>
      </c>
      <c r="I65" s="18" t="inlineStr"/>
      <c r="J65" s="18" t="n">
        <v>68308.10000000001</v>
      </c>
      <c r="K65" s="18" t="inlineStr">
        <is>
          <t>{"validator_failure": 1}</t>
        </is>
      </c>
      <c r="L65" s="18" t="inlineStr">
        <is>
          <t>C:\Users\Couch\Documents\Claude\Projects\Home of Claude - MSI Auto Project\orchestrator_contracts\local_model_operation_scores_2026-06-07.json</t>
        </is>
      </c>
      <c r="M65" s="18" t="inlineStr">
        <is>
          <t>Domain score from deterministic fixture validator.</t>
        </is>
      </c>
    </row>
    <row r="66">
      <c r="A66" s="18" t="inlineStr">
        <is>
          <t>operation_domain</t>
        </is>
      </c>
      <c r="B66" s="18" t="inlineStr">
        <is>
          <t>gemma4:12b</t>
        </is>
      </c>
      <c r="C66" s="18" t="inlineStr">
        <is>
          <t>ollama_http</t>
        </is>
      </c>
      <c r="D66" s="18" t="inlineStr">
        <is>
          <t>operations_first_pack_2026-06-07</t>
        </is>
      </c>
      <c r="E66" s="18" t="inlineStr">
        <is>
          <t>multi_agent_decomposition</t>
        </is>
      </c>
      <c r="F66" s="18" t="n">
        <v>1</v>
      </c>
      <c r="G66" s="18" t="n">
        <v>0</v>
      </c>
      <c r="H66" s="18" t="n">
        <v>0</v>
      </c>
      <c r="I66" s="18" t="inlineStr"/>
      <c r="J66" s="18" t="n">
        <v>94969.10000000001</v>
      </c>
      <c r="K66" s="18" t="inlineStr">
        <is>
          <t>{"validator_failure": 1}</t>
        </is>
      </c>
      <c r="L66" s="18" t="inlineStr">
        <is>
          <t>C:\Users\Couch\Documents\Claude\Projects\Home of Claude - MSI Auto Project\orchestrator_contracts\local_model_operation_scores_2026-06-07.json</t>
        </is>
      </c>
      <c r="M66" s="18" t="inlineStr">
        <is>
          <t>Domain score from deterministic fixture validator.</t>
        </is>
      </c>
    </row>
    <row r="67">
      <c r="A67" s="18" t="inlineStr">
        <is>
          <t>operation_domain</t>
        </is>
      </c>
      <c r="B67" s="18" t="inlineStr">
        <is>
          <t>gemma4:12b</t>
        </is>
      </c>
      <c r="C67" s="18" t="inlineStr">
        <is>
          <t>ollama_http</t>
        </is>
      </c>
      <c r="D67" s="18" t="inlineStr">
        <is>
          <t>operations_first_pack_2026-06-07</t>
        </is>
      </c>
      <c r="E67" s="18" t="inlineStr">
        <is>
          <t>public_content_law</t>
        </is>
      </c>
      <c r="F67" s="18" t="n">
        <v>1</v>
      </c>
      <c r="G67" s="18" t="n">
        <v>1</v>
      </c>
      <c r="H67" s="18" t="n">
        <v>1</v>
      </c>
      <c r="I67" s="18" t="inlineStr"/>
      <c r="J67" s="18" t="n">
        <v>41439.9</v>
      </c>
      <c r="K67" s="18" t="inlineStr">
        <is>
          <t>{}</t>
        </is>
      </c>
      <c r="L67" s="18" t="inlineStr">
        <is>
          <t>C:\Users\Couch\Documents\Claude\Projects\Home of Claude - MSI Auto Project\orchestrator_contracts\local_model_operation_scores_2026-06-07.json</t>
        </is>
      </c>
      <c r="M67" s="18" t="inlineStr">
        <is>
          <t>Domain score from deterministic fixture validator.</t>
        </is>
      </c>
    </row>
    <row r="68">
      <c r="A68" s="18" t="inlineStr">
        <is>
          <t>operation_domain</t>
        </is>
      </c>
      <c r="B68" s="18" t="inlineStr">
        <is>
          <t>gemma4:12b</t>
        </is>
      </c>
      <c r="C68" s="18" t="inlineStr">
        <is>
          <t>ollama_http</t>
        </is>
      </c>
      <c r="D68" s="18" t="inlineStr">
        <is>
          <t>operations_first_pack_2026-06-07</t>
        </is>
      </c>
      <c r="E68" s="18" t="inlineStr">
        <is>
          <t>regex_pattern_creation</t>
        </is>
      </c>
      <c r="F68" s="18" t="n">
        <v>1</v>
      </c>
      <c r="G68" s="18" t="n">
        <v>1</v>
      </c>
      <c r="H68" s="18" t="n">
        <v>1</v>
      </c>
      <c r="I68" s="18" t="inlineStr"/>
      <c r="J68" s="18" t="n">
        <v>81424.2</v>
      </c>
      <c r="K68" s="18" t="inlineStr">
        <is>
          <t>{}</t>
        </is>
      </c>
      <c r="L68" s="18" t="inlineStr">
        <is>
          <t>C:\Users\Couch\Documents\Claude\Projects\Home of Claude - MSI Auto Project\orchestrator_contracts\local_model_operation_scores_2026-06-07.json</t>
        </is>
      </c>
      <c r="M68" s="18" t="inlineStr">
        <is>
          <t>Domain score from deterministic fixture validator.</t>
        </is>
      </c>
    </row>
    <row r="69">
      <c r="A69" s="18" t="inlineStr">
        <is>
          <t>operation_domain</t>
        </is>
      </c>
      <c r="B69" s="18" t="inlineStr">
        <is>
          <t>gemma4:12b</t>
        </is>
      </c>
      <c r="C69" s="18" t="inlineStr">
        <is>
          <t>ollama_http</t>
        </is>
      </c>
      <c r="D69" s="18" t="inlineStr">
        <is>
          <t>operations_first_pack_2026-06-07</t>
        </is>
      </c>
      <c r="E69" s="18" t="inlineStr">
        <is>
          <t>role_based_task_execution</t>
        </is>
      </c>
      <c r="F69" s="18" t="n">
        <v>1</v>
      </c>
      <c r="G69" s="18" t="n">
        <v>0</v>
      </c>
      <c r="H69" s="18" t="n">
        <v>0</v>
      </c>
      <c r="I69" s="18" t="inlineStr"/>
      <c r="J69" s="18" t="n">
        <v>113143.9</v>
      </c>
      <c r="K69" s="18" t="inlineStr">
        <is>
          <t>{"validator_failure": 1}</t>
        </is>
      </c>
      <c r="L69" s="18" t="inlineStr">
        <is>
          <t>C:\Users\Couch\Documents\Claude\Projects\Home of Claude - MSI Auto Project\orchestrator_contracts\local_model_operation_scores_2026-06-07.json</t>
        </is>
      </c>
      <c r="M69" s="18" t="inlineStr">
        <is>
          <t>Domain score from deterministic fixture validator.</t>
        </is>
      </c>
    </row>
    <row r="70">
      <c r="A70" s="18" t="inlineStr">
        <is>
          <t>operation_overall</t>
        </is>
      </c>
      <c r="B70" s="18" t="inlineStr">
        <is>
          <t>gemma4:e4b</t>
        </is>
      </c>
      <c r="C70" s="18" t="inlineStr">
        <is>
          <t>ollama_http</t>
        </is>
      </c>
      <c r="D70" s="18" t="inlineStr">
        <is>
          <t>operations_first_pack_2026-06-07</t>
        </is>
      </c>
      <c r="E70" s="18" t="inlineStr">
        <is>
          <t>all_operation_domains</t>
        </is>
      </c>
      <c r="F70" s="18" t="n">
        <v>13</v>
      </c>
      <c r="G70" s="18" t="n">
        <v>1</v>
      </c>
      <c r="H70" s="18" t="n">
        <v>0.0769</v>
      </c>
      <c r="I70" s="18" t="inlineStr"/>
      <c r="J70" s="18" t="n">
        <v>35096.8</v>
      </c>
      <c r="K70" s="18" t="inlineStr">
        <is>
          <t>{"json_parse_error": 1, "validator_failure": 11}</t>
        </is>
      </c>
      <c r="L70" s="18" t="inlineStr">
        <is>
          <t>C:\Users\Couch\Documents\Claude\Projects\Home of Claude - MSI Auto Project\orchestrator_contracts\local_model_operation_scores_2026-06-07.json</t>
        </is>
      </c>
      <c r="M70" s="18" t="inlineStr">
        <is>
          <t>Strict one-trial operation fixture matrix; route only where validators pass.</t>
        </is>
      </c>
    </row>
    <row r="71">
      <c r="A71" s="18" t="inlineStr">
        <is>
          <t>operation_domain</t>
        </is>
      </c>
      <c r="B71" s="18" t="inlineStr">
        <is>
          <t>gemma4:e4b</t>
        </is>
      </c>
      <c r="C71" s="18" t="inlineStr">
        <is>
          <t>ollama_http</t>
        </is>
      </c>
      <c r="D71" s="18" t="inlineStr">
        <is>
          <t>operations_first_pack_2026-06-07</t>
        </is>
      </c>
      <c r="E71" s="18" t="inlineStr">
        <is>
          <t>compliance_policy</t>
        </is>
      </c>
      <c r="F71" s="18" t="n">
        <v>1</v>
      </c>
      <c r="G71" s="18" t="n">
        <v>0</v>
      </c>
      <c r="H71" s="18" t="n">
        <v>0</v>
      </c>
      <c r="I71" s="18" t="inlineStr"/>
      <c r="J71" s="18" t="n">
        <v>32592.6</v>
      </c>
      <c r="K71" s="18" t="inlineStr">
        <is>
          <t>{"validator_failure": 1}</t>
        </is>
      </c>
      <c r="L71" s="18" t="inlineStr">
        <is>
          <t>C:\Users\Couch\Documents\Claude\Projects\Home of Claude - MSI Auto Project\orchestrator_contracts\local_model_operation_scores_2026-06-07.json</t>
        </is>
      </c>
      <c r="M71" s="18" t="inlineStr">
        <is>
          <t>Domain score from deterministic fixture validator.</t>
        </is>
      </c>
    </row>
    <row r="72">
      <c r="A72" s="18" t="inlineStr">
        <is>
          <t>operation_domain</t>
        </is>
      </c>
      <c r="B72" s="18" t="inlineStr">
        <is>
          <t>gemma4:e4b</t>
        </is>
      </c>
      <c r="C72" s="18" t="inlineStr">
        <is>
          <t>ollama_http</t>
        </is>
      </c>
      <c r="D72" s="18" t="inlineStr">
        <is>
          <t>operations_first_pack_2026-06-07</t>
        </is>
      </c>
      <c r="E72" s="18" t="inlineStr">
        <is>
          <t>computer_control_app_use</t>
        </is>
      </c>
      <c r="F72" s="18" t="n">
        <v>1</v>
      </c>
      <c r="G72" s="18" t="n">
        <v>0</v>
      </c>
      <c r="H72" s="18" t="n">
        <v>0</v>
      </c>
      <c r="I72" s="18" t="inlineStr"/>
      <c r="J72" s="18" t="n">
        <v>24799.5</v>
      </c>
      <c r="K72" s="18" t="inlineStr">
        <is>
          <t>{"validator_failure": 1}</t>
        </is>
      </c>
      <c r="L72" s="18" t="inlineStr">
        <is>
          <t>C:\Users\Couch\Documents\Claude\Projects\Home of Claude - MSI Auto Project\orchestrator_contracts\local_model_operation_scores_2026-06-07.json</t>
        </is>
      </c>
      <c r="M72" s="18" t="inlineStr">
        <is>
          <t>Domain score from deterministic fixture validator.</t>
        </is>
      </c>
    </row>
    <row r="73">
      <c r="A73" s="18" t="inlineStr">
        <is>
          <t>operation_domain</t>
        </is>
      </c>
      <c r="B73" s="18" t="inlineStr">
        <is>
          <t>gemma4:e4b</t>
        </is>
      </c>
      <c r="C73" s="18" t="inlineStr">
        <is>
          <t>ollama_http</t>
        </is>
      </c>
      <c r="D73" s="18" t="inlineStr">
        <is>
          <t>operations_first_pack_2026-06-07</t>
        </is>
      </c>
      <c r="E73" s="18" t="inlineStr">
        <is>
          <t>conceptualization_strategy</t>
        </is>
      </c>
      <c r="F73" s="18" t="n">
        <v>1</v>
      </c>
      <c r="G73" s="18" t="n">
        <v>0</v>
      </c>
      <c r="H73" s="18" t="n">
        <v>0</v>
      </c>
      <c r="I73" s="18" t="inlineStr"/>
      <c r="J73" s="18" t="n">
        <v>41898.3</v>
      </c>
      <c r="K73" s="18" t="inlineStr">
        <is>
          <t>{"validator_failure": 1}</t>
        </is>
      </c>
      <c r="L73" s="18" t="inlineStr">
        <is>
          <t>C:\Users\Couch\Documents\Claude\Projects\Home of Claude - MSI Auto Project\orchestrator_contracts\local_model_operation_scores_2026-06-07.json</t>
        </is>
      </c>
      <c r="M73" s="18" t="inlineStr">
        <is>
          <t>Domain score from deterministic fixture validator.</t>
        </is>
      </c>
    </row>
    <row r="74">
      <c r="A74" s="18" t="inlineStr">
        <is>
          <t>operation_domain</t>
        </is>
      </c>
      <c r="B74" s="18" t="inlineStr">
        <is>
          <t>gemma4:e4b</t>
        </is>
      </c>
      <c r="C74" s="18" t="inlineStr">
        <is>
          <t>ollama_http</t>
        </is>
      </c>
      <c r="D74" s="18" t="inlineStr">
        <is>
          <t>operations_first_pack_2026-06-07</t>
        </is>
      </c>
      <c r="E74" s="18" t="inlineStr">
        <is>
          <t>data_analytics_kpi_diagnostics</t>
        </is>
      </c>
      <c r="F74" s="18" t="n">
        <v>1</v>
      </c>
      <c r="G74" s="18" t="n">
        <v>0</v>
      </c>
      <c r="H74" s="18" t="n">
        <v>0</v>
      </c>
      <c r="I74" s="18" t="inlineStr"/>
      <c r="J74" s="18" t="n">
        <v>22230.7</v>
      </c>
      <c r="K74" s="18" t="inlineStr">
        <is>
          <t>{"validator_failure": 1}</t>
        </is>
      </c>
      <c r="L74" s="18" t="inlineStr">
        <is>
          <t>C:\Users\Couch\Documents\Claude\Projects\Home of Claude - MSI Auto Project\orchestrator_contracts\local_model_operation_scores_2026-06-07.json</t>
        </is>
      </c>
      <c r="M74" s="18" t="inlineStr">
        <is>
          <t>Domain score from deterministic fixture validator.</t>
        </is>
      </c>
    </row>
    <row r="75">
      <c r="A75" s="18" t="inlineStr">
        <is>
          <t>operation_domain</t>
        </is>
      </c>
      <c r="B75" s="18" t="inlineStr">
        <is>
          <t>gemma4:e4b</t>
        </is>
      </c>
      <c r="C75" s="18" t="inlineStr">
        <is>
          <t>ollama_http</t>
        </is>
      </c>
      <c r="D75" s="18" t="inlineStr">
        <is>
          <t>operations_first_pack_2026-06-07</t>
        </is>
      </c>
      <c r="E75" s="18" t="inlineStr">
        <is>
          <t>financial_operations</t>
        </is>
      </c>
      <c r="F75" s="18" t="n">
        <v>1</v>
      </c>
      <c r="G75" s="18" t="n">
        <v>0</v>
      </c>
      <c r="H75" s="18" t="n">
        <v>0</v>
      </c>
      <c r="I75" s="18" t="inlineStr"/>
      <c r="J75" s="18" t="n">
        <v>34810.3</v>
      </c>
      <c r="K75" s="18" t="inlineStr">
        <is>
          <t>{"validator_failure": 1}</t>
        </is>
      </c>
      <c r="L75" s="18" t="inlineStr">
        <is>
          <t>C:\Users\Couch\Documents\Claude\Projects\Home of Claude - MSI Auto Project\orchestrator_contracts\local_model_operation_scores_2026-06-07.json</t>
        </is>
      </c>
      <c r="M75" s="18" t="inlineStr">
        <is>
          <t>Domain score from deterministic fixture validator.</t>
        </is>
      </c>
    </row>
    <row r="76">
      <c r="A76" s="18" t="inlineStr">
        <is>
          <t>operation_domain</t>
        </is>
      </c>
      <c r="B76" s="18" t="inlineStr">
        <is>
          <t>gemma4:e4b</t>
        </is>
      </c>
      <c r="C76" s="18" t="inlineStr">
        <is>
          <t>ollama_http</t>
        </is>
      </c>
      <c r="D76" s="18" t="inlineStr">
        <is>
          <t>operations_first_pack_2026-06-07</t>
        </is>
      </c>
      <c r="E76" s="18" t="inlineStr">
        <is>
          <t>full_business_operations</t>
        </is>
      </c>
      <c r="F76" s="18" t="n">
        <v>1</v>
      </c>
      <c r="G76" s="18" t="n">
        <v>0</v>
      </c>
      <c r="H76" s="18" t="n">
        <v>0</v>
      </c>
      <c r="I76" s="18" t="inlineStr"/>
      <c r="J76" s="18" t="n">
        <v>88008.10000000001</v>
      </c>
      <c r="K76" s="18" t="inlineStr">
        <is>
          <t>{"validator_failure": 1}</t>
        </is>
      </c>
      <c r="L76" s="18" t="inlineStr">
        <is>
          <t>C:\Users\Couch\Documents\Claude\Projects\Home of Claude - MSI Auto Project\orchestrator_contracts\local_model_operation_scores_2026-06-07.json</t>
        </is>
      </c>
      <c r="M76" s="18" t="inlineStr">
        <is>
          <t>Domain score from deterministic fixture validator.</t>
        </is>
      </c>
    </row>
    <row r="77">
      <c r="A77" s="18" t="inlineStr">
        <is>
          <t>operation_domain</t>
        </is>
      </c>
      <c r="B77" s="18" t="inlineStr">
        <is>
          <t>gemma4:e4b</t>
        </is>
      </c>
      <c r="C77" s="18" t="inlineStr">
        <is>
          <t>ollama_http</t>
        </is>
      </c>
      <c r="D77" s="18" t="inlineStr">
        <is>
          <t>operations_first_pack_2026-06-07</t>
        </is>
      </c>
      <c r="E77" s="18" t="inlineStr">
        <is>
          <t>market_forecasting_backtest</t>
        </is>
      </c>
      <c r="F77" s="18" t="n">
        <v>1</v>
      </c>
      <c r="G77" s="18" t="n">
        <v>0</v>
      </c>
      <c r="H77" s="18" t="n">
        <v>0</v>
      </c>
      <c r="I77" s="18" t="inlineStr"/>
      <c r="J77" s="18" t="n">
        <v>42970.4</v>
      </c>
      <c r="K77" s="18" t="inlineStr">
        <is>
          <t>{"validator_failure": 1}</t>
        </is>
      </c>
      <c r="L77" s="18" t="inlineStr">
        <is>
          <t>C:\Users\Couch\Documents\Claude\Projects\Home of Claude - MSI Auto Project\orchestrator_contracts\local_model_operation_scores_2026-06-07.json</t>
        </is>
      </c>
      <c r="M77" s="18" t="inlineStr">
        <is>
          <t>Domain score from deterministic fixture validator.</t>
        </is>
      </c>
    </row>
    <row r="78">
      <c r="A78" s="18" t="inlineStr">
        <is>
          <t>operation_domain</t>
        </is>
      </c>
      <c r="B78" s="18" t="inlineStr">
        <is>
          <t>gemma4:e4b</t>
        </is>
      </c>
      <c r="C78" s="18" t="inlineStr">
        <is>
          <t>ollama_http</t>
        </is>
      </c>
      <c r="D78" s="18" t="inlineStr">
        <is>
          <t>operations_first_pack_2026-06-07</t>
        </is>
      </c>
      <c r="E78" s="18" t="inlineStr">
        <is>
          <t>memory_context_management</t>
        </is>
      </c>
      <c r="F78" s="18" t="n">
        <v>1</v>
      </c>
      <c r="G78" s="18" t="n">
        <v>0</v>
      </c>
      <c r="H78" s="18" t="n">
        <v>0</v>
      </c>
      <c r="I78" s="18" t="inlineStr"/>
      <c r="J78" s="18" t="n">
        <v>20084</v>
      </c>
      <c r="K78" s="18" t="inlineStr">
        <is>
          <t>{"validator_failure": 1}</t>
        </is>
      </c>
      <c r="L78" s="18" t="inlineStr">
        <is>
          <t>C:\Users\Couch\Documents\Claude\Projects\Home of Claude - MSI Auto Project\orchestrator_contracts\local_model_operation_scores_2026-06-07.json</t>
        </is>
      </c>
      <c r="M78" s="18" t="inlineStr">
        <is>
          <t>Domain score from deterministic fixture validator.</t>
        </is>
      </c>
    </row>
    <row r="79">
      <c r="A79" s="18" t="inlineStr">
        <is>
          <t>operation_domain</t>
        </is>
      </c>
      <c r="B79" s="18" t="inlineStr">
        <is>
          <t>gemma4:e4b</t>
        </is>
      </c>
      <c r="C79" s="18" t="inlineStr">
        <is>
          <t>ollama_http</t>
        </is>
      </c>
      <c r="D79" s="18" t="inlineStr">
        <is>
          <t>operations_first_pack_2026-06-07</t>
        </is>
      </c>
      <c r="E79" s="18" t="inlineStr">
        <is>
          <t>model_to_model_orchestration</t>
        </is>
      </c>
      <c r="F79" s="18" t="n">
        <v>1</v>
      </c>
      <c r="G79" s="18" t="n">
        <v>0</v>
      </c>
      <c r="H79" s="18" t="n">
        <v>0</v>
      </c>
      <c r="I79" s="18" t="inlineStr"/>
      <c r="J79" s="18" t="n">
        <v>26034.6</v>
      </c>
      <c r="K79" s="18" t="inlineStr">
        <is>
          <t>{"validator_failure": 1}</t>
        </is>
      </c>
      <c r="L79" s="18" t="inlineStr">
        <is>
          <t>C:\Users\Couch\Documents\Claude\Projects\Home of Claude - MSI Auto Project\orchestrator_contracts\local_model_operation_scores_2026-06-07.json</t>
        </is>
      </c>
      <c r="M79" s="18" t="inlineStr">
        <is>
          <t>Domain score from deterministic fixture validator.</t>
        </is>
      </c>
    </row>
    <row r="80">
      <c r="A80" s="18" t="inlineStr">
        <is>
          <t>operation_domain</t>
        </is>
      </c>
      <c r="B80" s="18" t="inlineStr">
        <is>
          <t>gemma4:e4b</t>
        </is>
      </c>
      <c r="C80" s="18" t="inlineStr">
        <is>
          <t>ollama_http</t>
        </is>
      </c>
      <c r="D80" s="18" t="inlineStr">
        <is>
          <t>operations_first_pack_2026-06-07</t>
        </is>
      </c>
      <c r="E80" s="18" t="inlineStr">
        <is>
          <t>multi_agent_decomposition</t>
        </is>
      </c>
      <c r="F80" s="18" t="n">
        <v>1</v>
      </c>
      <c r="G80" s="18" t="n">
        <v>0</v>
      </c>
      <c r="H80" s="18" t="n">
        <v>0</v>
      </c>
      <c r="I80" s="18" t="inlineStr"/>
      <c r="J80" s="18" t="n">
        <v>25162.6</v>
      </c>
      <c r="K80" s="18" t="inlineStr">
        <is>
          <t>{"validator_failure": 1}</t>
        </is>
      </c>
      <c r="L80" s="18" t="inlineStr">
        <is>
          <t>C:\Users\Couch\Documents\Claude\Projects\Home of Claude - MSI Auto Project\orchestrator_contracts\local_model_operation_scores_2026-06-07.json</t>
        </is>
      </c>
      <c r="M80" s="18" t="inlineStr">
        <is>
          <t>Domain score from deterministic fixture validator.</t>
        </is>
      </c>
    </row>
    <row r="81">
      <c r="A81" s="18" t="inlineStr">
        <is>
          <t>operation_domain</t>
        </is>
      </c>
      <c r="B81" s="18" t="inlineStr">
        <is>
          <t>gemma4:e4b</t>
        </is>
      </c>
      <c r="C81" s="18" t="inlineStr">
        <is>
          <t>ollama_http</t>
        </is>
      </c>
      <c r="D81" s="18" t="inlineStr">
        <is>
          <t>operations_first_pack_2026-06-07</t>
        </is>
      </c>
      <c r="E81" s="18" t="inlineStr">
        <is>
          <t>public_content_law</t>
        </is>
      </c>
      <c r="F81" s="18" t="n">
        <v>1</v>
      </c>
      <c r="G81" s="18" t="n">
        <v>1</v>
      </c>
      <c r="H81" s="18" t="n">
        <v>1</v>
      </c>
      <c r="I81" s="18" t="inlineStr"/>
      <c r="J81" s="18" t="n">
        <v>17451.8</v>
      </c>
      <c r="K81" s="18" t="inlineStr">
        <is>
          <t>{}</t>
        </is>
      </c>
      <c r="L81" s="18" t="inlineStr">
        <is>
          <t>C:\Users\Couch\Documents\Claude\Projects\Home of Claude - MSI Auto Project\orchestrator_contracts\local_model_operation_scores_2026-06-07.json</t>
        </is>
      </c>
      <c r="M81" s="18" t="inlineStr">
        <is>
          <t>Domain score from deterministic fixture validator.</t>
        </is>
      </c>
    </row>
    <row r="82">
      <c r="A82" s="18" t="inlineStr">
        <is>
          <t>operation_domain</t>
        </is>
      </c>
      <c r="B82" s="18" t="inlineStr">
        <is>
          <t>gemma4:e4b</t>
        </is>
      </c>
      <c r="C82" s="18" t="inlineStr">
        <is>
          <t>ollama_http</t>
        </is>
      </c>
      <c r="D82" s="18" t="inlineStr">
        <is>
          <t>operations_first_pack_2026-06-07</t>
        </is>
      </c>
      <c r="E82" s="18" t="inlineStr">
        <is>
          <t>regex_pattern_creation</t>
        </is>
      </c>
      <c r="F82" s="18" t="n">
        <v>1</v>
      </c>
      <c r="G82" s="18" t="n">
        <v>0</v>
      </c>
      <c r="H82" s="18" t="n">
        <v>0</v>
      </c>
      <c r="I82" s="18" t="inlineStr"/>
      <c r="J82" s="18" t="n">
        <v>39125.1</v>
      </c>
      <c r="K82" s="18" t="inlineStr">
        <is>
          <t>{"json_parse_error": 1}</t>
        </is>
      </c>
      <c r="L82" s="18" t="inlineStr">
        <is>
          <t>C:\Users\Couch\Documents\Claude\Projects\Home of Claude - MSI Auto Project\orchestrator_contracts\local_model_operation_scores_2026-06-07.json</t>
        </is>
      </c>
      <c r="M82" s="18" t="inlineStr">
        <is>
          <t>Domain score from deterministic fixture validator.</t>
        </is>
      </c>
    </row>
    <row r="83">
      <c r="A83" s="18" t="inlineStr">
        <is>
          <t>operation_domain</t>
        </is>
      </c>
      <c r="B83" s="18" t="inlineStr">
        <is>
          <t>gemma4:e4b</t>
        </is>
      </c>
      <c r="C83" s="18" t="inlineStr">
        <is>
          <t>ollama_http</t>
        </is>
      </c>
      <c r="D83" s="18" t="inlineStr">
        <is>
          <t>operations_first_pack_2026-06-07</t>
        </is>
      </c>
      <c r="E83" s="18" t="inlineStr">
        <is>
          <t>role_based_task_execution</t>
        </is>
      </c>
      <c r="F83" s="18" t="n">
        <v>1</v>
      </c>
      <c r="G83" s="18" t="n">
        <v>0</v>
      </c>
      <c r="H83" s="18" t="n">
        <v>0</v>
      </c>
      <c r="I83" s="18" t="inlineStr"/>
      <c r="J83" s="18" t="n">
        <v>41089.8</v>
      </c>
      <c r="K83" s="18" t="inlineStr">
        <is>
          <t>{"validator_failure": 1}</t>
        </is>
      </c>
      <c r="L83" s="18" t="inlineStr">
        <is>
          <t>C:\Users\Couch\Documents\Claude\Projects\Home of Claude - MSI Auto Project\orchestrator_contracts\local_model_operation_scores_2026-06-07.json</t>
        </is>
      </c>
      <c r="M83" s="18" t="inlineStr">
        <is>
          <t>Domain score from deterministic fixture validator.</t>
        </is>
      </c>
    </row>
    <row r="84">
      <c r="A84" s="18" t="inlineStr">
        <is>
          <t>operation_overall</t>
        </is>
      </c>
      <c r="B84" s="18" t="inlineStr">
        <is>
          <t>qwen2.5-coder:7b</t>
        </is>
      </c>
      <c r="C84" s="18" t="inlineStr">
        <is>
          <t>ollama_http</t>
        </is>
      </c>
      <c r="D84" s="18" t="inlineStr">
        <is>
          <t>operations_first_pack_2026-06-07</t>
        </is>
      </c>
      <c r="E84" s="18" t="inlineStr">
        <is>
          <t>all_operation_domains</t>
        </is>
      </c>
      <c r="F84" s="18" t="n">
        <v>13</v>
      </c>
      <c r="G84" s="18" t="n">
        <v>0</v>
      </c>
      <c r="H84" s="18" t="n">
        <v>0</v>
      </c>
      <c r="I84" s="18" t="inlineStr"/>
      <c r="J84" s="18" t="n"/>
      <c r="K84" s="18" t="inlineStr">
        <is>
          <t>{"unavailable_or_timeout": 13}</t>
        </is>
      </c>
      <c r="L84" s="18" t="inlineStr">
        <is>
          <t>C:\Users\Couch\Documents\Claude\Projects\Home of Claude - MSI Auto Project\orchestrator_contracts\local_model_operation_scores_2026-06-07.json</t>
        </is>
      </c>
      <c r="M84" s="18" t="inlineStr">
        <is>
          <t>Strict one-trial operation fixture matrix; route only where validators pass.</t>
        </is>
      </c>
    </row>
    <row r="85">
      <c r="A85" s="18" t="inlineStr">
        <is>
          <t>operation_domain</t>
        </is>
      </c>
      <c r="B85" s="18" t="inlineStr">
        <is>
          <t>qwen2.5-coder:7b</t>
        </is>
      </c>
      <c r="C85" s="18" t="inlineStr">
        <is>
          <t>ollama_http</t>
        </is>
      </c>
      <c r="D85" s="18" t="inlineStr">
        <is>
          <t>operations_first_pack_2026-06-07</t>
        </is>
      </c>
      <c r="E85" s="18" t="inlineStr">
        <is>
          <t>compliance_policy</t>
        </is>
      </c>
      <c r="F85" s="18" t="n">
        <v>1</v>
      </c>
      <c r="G85" s="18" t="n">
        <v>0</v>
      </c>
      <c r="H85" s="18" t="n">
        <v>0</v>
      </c>
      <c r="I85" s="18" t="inlineStr"/>
      <c r="J85" s="18" t="n"/>
      <c r="K85" s="18" t="inlineStr">
        <is>
          <t>{"unavailable_or_timeout": 1}</t>
        </is>
      </c>
      <c r="L85" s="18" t="inlineStr">
        <is>
          <t>C:\Users\Couch\Documents\Claude\Projects\Home of Claude - MSI Auto Project\orchestrator_contracts\local_model_operation_scores_2026-06-07.json</t>
        </is>
      </c>
      <c r="M85" s="18" t="inlineStr">
        <is>
          <t>Domain score from deterministic fixture validator.</t>
        </is>
      </c>
    </row>
    <row r="86">
      <c r="A86" s="18" t="inlineStr">
        <is>
          <t>operation_domain</t>
        </is>
      </c>
      <c r="B86" s="18" t="inlineStr">
        <is>
          <t>qwen2.5-coder:7b</t>
        </is>
      </c>
      <c r="C86" s="18" t="inlineStr">
        <is>
          <t>ollama_http</t>
        </is>
      </c>
      <c r="D86" s="18" t="inlineStr">
        <is>
          <t>operations_first_pack_2026-06-07</t>
        </is>
      </c>
      <c r="E86" s="18" t="inlineStr">
        <is>
          <t>computer_control_app_use</t>
        </is>
      </c>
      <c r="F86" s="18" t="n">
        <v>1</v>
      </c>
      <c r="G86" s="18" t="n">
        <v>0</v>
      </c>
      <c r="H86" s="18" t="n">
        <v>0</v>
      </c>
      <c r="I86" s="18" t="inlineStr"/>
      <c r="J86" s="18" t="n"/>
      <c r="K86" s="18" t="inlineStr">
        <is>
          <t>{"unavailable_or_timeout": 1}</t>
        </is>
      </c>
      <c r="L86" s="18" t="inlineStr">
        <is>
          <t>C:\Users\Couch\Documents\Claude\Projects\Home of Claude - MSI Auto Project\orchestrator_contracts\local_model_operation_scores_2026-06-07.json</t>
        </is>
      </c>
      <c r="M86" s="18" t="inlineStr">
        <is>
          <t>Domain score from deterministic fixture validator.</t>
        </is>
      </c>
    </row>
    <row r="87">
      <c r="A87" s="18" t="inlineStr">
        <is>
          <t>operation_domain</t>
        </is>
      </c>
      <c r="B87" s="18" t="inlineStr">
        <is>
          <t>qwen2.5-coder:7b</t>
        </is>
      </c>
      <c r="C87" s="18" t="inlineStr">
        <is>
          <t>ollama_http</t>
        </is>
      </c>
      <c r="D87" s="18" t="inlineStr">
        <is>
          <t>operations_first_pack_2026-06-07</t>
        </is>
      </c>
      <c r="E87" s="18" t="inlineStr">
        <is>
          <t>conceptualization_strategy</t>
        </is>
      </c>
      <c r="F87" s="18" t="n">
        <v>1</v>
      </c>
      <c r="G87" s="18" t="n">
        <v>0</v>
      </c>
      <c r="H87" s="18" t="n">
        <v>0</v>
      </c>
      <c r="I87" s="18" t="inlineStr"/>
      <c r="J87" s="18" t="n"/>
      <c r="K87" s="18" t="inlineStr">
        <is>
          <t>{"unavailable_or_timeout": 1}</t>
        </is>
      </c>
      <c r="L87" s="18" t="inlineStr">
        <is>
          <t>C:\Users\Couch\Documents\Claude\Projects\Home of Claude - MSI Auto Project\orchestrator_contracts\local_model_operation_scores_2026-06-07.json</t>
        </is>
      </c>
      <c r="M87" s="18" t="inlineStr">
        <is>
          <t>Domain score from deterministic fixture validator.</t>
        </is>
      </c>
    </row>
    <row r="88">
      <c r="A88" s="18" t="inlineStr">
        <is>
          <t>operation_domain</t>
        </is>
      </c>
      <c r="B88" s="18" t="inlineStr">
        <is>
          <t>qwen2.5-coder:7b</t>
        </is>
      </c>
      <c r="C88" s="18" t="inlineStr">
        <is>
          <t>ollama_http</t>
        </is>
      </c>
      <c r="D88" s="18" t="inlineStr">
        <is>
          <t>operations_first_pack_2026-06-07</t>
        </is>
      </c>
      <c r="E88" s="18" t="inlineStr">
        <is>
          <t>data_analytics_kpi_diagnostics</t>
        </is>
      </c>
      <c r="F88" s="18" t="n">
        <v>1</v>
      </c>
      <c r="G88" s="18" t="n">
        <v>0</v>
      </c>
      <c r="H88" s="18" t="n">
        <v>0</v>
      </c>
      <c r="I88" s="18" t="inlineStr"/>
      <c r="J88" s="18" t="n"/>
      <c r="K88" s="18" t="inlineStr">
        <is>
          <t>{"unavailable_or_timeout": 1}</t>
        </is>
      </c>
      <c r="L88" s="18" t="inlineStr">
        <is>
          <t>C:\Users\Couch\Documents\Claude\Projects\Home of Claude - MSI Auto Project\orchestrator_contracts\local_model_operation_scores_2026-06-07.json</t>
        </is>
      </c>
      <c r="M88" s="18" t="inlineStr">
        <is>
          <t>Domain score from deterministic fixture validator.</t>
        </is>
      </c>
    </row>
    <row r="89">
      <c r="A89" s="18" t="inlineStr">
        <is>
          <t>operation_domain</t>
        </is>
      </c>
      <c r="B89" s="18" t="inlineStr">
        <is>
          <t>qwen2.5-coder:7b</t>
        </is>
      </c>
      <c r="C89" s="18" t="inlineStr">
        <is>
          <t>ollama_http</t>
        </is>
      </c>
      <c r="D89" s="18" t="inlineStr">
        <is>
          <t>operations_first_pack_2026-06-07</t>
        </is>
      </c>
      <c r="E89" s="18" t="inlineStr">
        <is>
          <t>financial_operations</t>
        </is>
      </c>
      <c r="F89" s="18" t="n">
        <v>1</v>
      </c>
      <c r="G89" s="18" t="n">
        <v>0</v>
      </c>
      <c r="H89" s="18" t="n">
        <v>0</v>
      </c>
      <c r="I89" s="18" t="inlineStr"/>
      <c r="J89" s="18" t="n"/>
      <c r="K89" s="18" t="inlineStr">
        <is>
          <t>{"unavailable_or_timeout": 1}</t>
        </is>
      </c>
      <c r="L89" s="18" t="inlineStr">
        <is>
          <t>C:\Users\Couch\Documents\Claude\Projects\Home of Claude - MSI Auto Project\orchestrator_contracts\local_model_operation_scores_2026-06-07.json</t>
        </is>
      </c>
      <c r="M89" s="18" t="inlineStr">
        <is>
          <t>Domain score from deterministic fixture validator.</t>
        </is>
      </c>
    </row>
    <row r="90">
      <c r="A90" s="18" t="inlineStr">
        <is>
          <t>operation_domain</t>
        </is>
      </c>
      <c r="B90" s="18" t="inlineStr">
        <is>
          <t>qwen2.5-coder:7b</t>
        </is>
      </c>
      <c r="C90" s="18" t="inlineStr">
        <is>
          <t>ollama_http</t>
        </is>
      </c>
      <c r="D90" s="18" t="inlineStr">
        <is>
          <t>operations_first_pack_2026-06-07</t>
        </is>
      </c>
      <c r="E90" s="18" t="inlineStr">
        <is>
          <t>full_business_operations</t>
        </is>
      </c>
      <c r="F90" s="18" t="n">
        <v>1</v>
      </c>
      <c r="G90" s="18" t="n">
        <v>0</v>
      </c>
      <c r="H90" s="18" t="n">
        <v>0</v>
      </c>
      <c r="I90" s="18" t="inlineStr"/>
      <c r="J90" s="18" t="n"/>
      <c r="K90" s="18" t="inlineStr">
        <is>
          <t>{"unavailable_or_timeout": 1}</t>
        </is>
      </c>
      <c r="L90" s="18" t="inlineStr">
        <is>
          <t>C:\Users\Couch\Documents\Claude\Projects\Home of Claude - MSI Auto Project\orchestrator_contracts\local_model_operation_scores_2026-06-07.json</t>
        </is>
      </c>
      <c r="M90" s="18" t="inlineStr">
        <is>
          <t>Domain score from deterministic fixture validator.</t>
        </is>
      </c>
    </row>
    <row r="91">
      <c r="A91" s="18" t="inlineStr">
        <is>
          <t>operation_domain</t>
        </is>
      </c>
      <c r="B91" s="18" t="inlineStr">
        <is>
          <t>qwen2.5-coder:7b</t>
        </is>
      </c>
      <c r="C91" s="18" t="inlineStr">
        <is>
          <t>ollama_http</t>
        </is>
      </c>
      <c r="D91" s="18" t="inlineStr">
        <is>
          <t>operations_first_pack_2026-06-07</t>
        </is>
      </c>
      <c r="E91" s="18" t="inlineStr">
        <is>
          <t>market_forecasting_backtest</t>
        </is>
      </c>
      <c r="F91" s="18" t="n">
        <v>1</v>
      </c>
      <c r="G91" s="18" t="n">
        <v>0</v>
      </c>
      <c r="H91" s="18" t="n">
        <v>0</v>
      </c>
      <c r="I91" s="18" t="inlineStr"/>
      <c r="J91" s="18" t="n"/>
      <c r="K91" s="18" t="inlineStr">
        <is>
          <t>{"unavailable_or_timeout": 1}</t>
        </is>
      </c>
      <c r="L91" s="18" t="inlineStr">
        <is>
          <t>C:\Users\Couch\Documents\Claude\Projects\Home of Claude - MSI Auto Project\orchestrator_contracts\local_model_operation_scores_2026-06-07.json</t>
        </is>
      </c>
      <c r="M91" s="18" t="inlineStr">
        <is>
          <t>Domain score from deterministic fixture validator.</t>
        </is>
      </c>
    </row>
    <row r="92">
      <c r="A92" s="18" t="inlineStr">
        <is>
          <t>operation_domain</t>
        </is>
      </c>
      <c r="B92" s="18" t="inlineStr">
        <is>
          <t>qwen2.5-coder:7b</t>
        </is>
      </c>
      <c r="C92" s="18" t="inlineStr">
        <is>
          <t>ollama_http</t>
        </is>
      </c>
      <c r="D92" s="18" t="inlineStr">
        <is>
          <t>operations_first_pack_2026-06-07</t>
        </is>
      </c>
      <c r="E92" s="18" t="inlineStr">
        <is>
          <t>memory_context_management</t>
        </is>
      </c>
      <c r="F92" s="18" t="n">
        <v>1</v>
      </c>
      <c r="G92" s="18" t="n">
        <v>0</v>
      </c>
      <c r="H92" s="18" t="n">
        <v>0</v>
      </c>
      <c r="I92" s="18" t="inlineStr"/>
      <c r="J92" s="18" t="n"/>
      <c r="K92" s="18" t="inlineStr">
        <is>
          <t>{"unavailable_or_timeout": 1}</t>
        </is>
      </c>
      <c r="L92" s="18" t="inlineStr">
        <is>
          <t>C:\Users\Couch\Documents\Claude\Projects\Home of Claude - MSI Auto Project\orchestrator_contracts\local_model_operation_scores_2026-06-07.json</t>
        </is>
      </c>
      <c r="M92" s="18" t="inlineStr">
        <is>
          <t>Domain score from deterministic fixture validator.</t>
        </is>
      </c>
    </row>
    <row r="93">
      <c r="A93" s="18" t="inlineStr">
        <is>
          <t>operation_domain</t>
        </is>
      </c>
      <c r="B93" s="18" t="inlineStr">
        <is>
          <t>qwen2.5-coder:7b</t>
        </is>
      </c>
      <c r="C93" s="18" t="inlineStr">
        <is>
          <t>ollama_http</t>
        </is>
      </c>
      <c r="D93" s="18" t="inlineStr">
        <is>
          <t>operations_first_pack_2026-06-07</t>
        </is>
      </c>
      <c r="E93" s="18" t="inlineStr">
        <is>
          <t>model_to_model_orchestration</t>
        </is>
      </c>
      <c r="F93" s="18" t="n">
        <v>1</v>
      </c>
      <c r="G93" s="18" t="n">
        <v>0</v>
      </c>
      <c r="H93" s="18" t="n">
        <v>0</v>
      </c>
      <c r="I93" s="18" t="inlineStr"/>
      <c r="J93" s="18" t="n"/>
      <c r="K93" s="18" t="inlineStr">
        <is>
          <t>{"unavailable_or_timeout": 1}</t>
        </is>
      </c>
      <c r="L93" s="18" t="inlineStr">
        <is>
          <t>C:\Users\Couch\Documents\Claude\Projects\Home of Claude - MSI Auto Project\orchestrator_contracts\local_model_operation_scores_2026-06-07.json</t>
        </is>
      </c>
      <c r="M93" s="18" t="inlineStr">
        <is>
          <t>Domain score from deterministic fixture validator.</t>
        </is>
      </c>
    </row>
    <row r="94">
      <c r="A94" s="18" t="inlineStr">
        <is>
          <t>operation_domain</t>
        </is>
      </c>
      <c r="B94" s="18" t="inlineStr">
        <is>
          <t>qwen2.5-coder:7b</t>
        </is>
      </c>
      <c r="C94" s="18" t="inlineStr">
        <is>
          <t>ollama_http</t>
        </is>
      </c>
      <c r="D94" s="18" t="inlineStr">
        <is>
          <t>operations_first_pack_2026-06-07</t>
        </is>
      </c>
      <c r="E94" s="18" t="inlineStr">
        <is>
          <t>multi_agent_decomposition</t>
        </is>
      </c>
      <c r="F94" s="18" t="n">
        <v>1</v>
      </c>
      <c r="G94" s="18" t="n">
        <v>0</v>
      </c>
      <c r="H94" s="18" t="n">
        <v>0</v>
      </c>
      <c r="I94" s="18" t="inlineStr"/>
      <c r="J94" s="18" t="n"/>
      <c r="K94" s="18" t="inlineStr">
        <is>
          <t>{"unavailable_or_timeout": 1}</t>
        </is>
      </c>
      <c r="L94" s="18" t="inlineStr">
        <is>
          <t>C:\Users\Couch\Documents\Claude\Projects\Home of Claude - MSI Auto Project\orchestrator_contracts\local_model_operation_scores_2026-06-07.json</t>
        </is>
      </c>
      <c r="M94" s="18" t="inlineStr">
        <is>
          <t>Domain score from deterministic fixture validator.</t>
        </is>
      </c>
    </row>
    <row r="95">
      <c r="A95" s="18" t="inlineStr">
        <is>
          <t>operation_domain</t>
        </is>
      </c>
      <c r="B95" s="18" t="inlineStr">
        <is>
          <t>qwen2.5-coder:7b</t>
        </is>
      </c>
      <c r="C95" s="18" t="inlineStr">
        <is>
          <t>ollama_http</t>
        </is>
      </c>
      <c r="D95" s="18" t="inlineStr">
        <is>
          <t>operations_first_pack_2026-06-07</t>
        </is>
      </c>
      <c r="E95" s="18" t="inlineStr">
        <is>
          <t>public_content_law</t>
        </is>
      </c>
      <c r="F95" s="18" t="n">
        <v>1</v>
      </c>
      <c r="G95" s="18" t="n">
        <v>0</v>
      </c>
      <c r="H95" s="18" t="n">
        <v>0</v>
      </c>
      <c r="I95" s="18" t="inlineStr"/>
      <c r="J95" s="18" t="n"/>
      <c r="K95" s="18" t="inlineStr">
        <is>
          <t>{"unavailable_or_timeout": 1}</t>
        </is>
      </c>
      <c r="L95" s="18" t="inlineStr">
        <is>
          <t>C:\Users\Couch\Documents\Claude\Projects\Home of Claude - MSI Auto Project\orchestrator_contracts\local_model_operation_scores_2026-06-07.json</t>
        </is>
      </c>
      <c r="M95" s="18" t="inlineStr">
        <is>
          <t>Domain score from deterministic fixture validator.</t>
        </is>
      </c>
    </row>
    <row r="96">
      <c r="A96" s="18" t="inlineStr">
        <is>
          <t>operation_domain</t>
        </is>
      </c>
      <c r="B96" s="18" t="inlineStr">
        <is>
          <t>qwen2.5-coder:7b</t>
        </is>
      </c>
      <c r="C96" s="18" t="inlineStr">
        <is>
          <t>ollama_http</t>
        </is>
      </c>
      <c r="D96" s="18" t="inlineStr">
        <is>
          <t>operations_first_pack_2026-06-07</t>
        </is>
      </c>
      <c r="E96" s="18" t="inlineStr">
        <is>
          <t>regex_pattern_creation</t>
        </is>
      </c>
      <c r="F96" s="18" t="n">
        <v>1</v>
      </c>
      <c r="G96" s="18" t="n">
        <v>0</v>
      </c>
      <c r="H96" s="18" t="n">
        <v>0</v>
      </c>
      <c r="I96" s="18" t="inlineStr"/>
      <c r="J96" s="18" t="n"/>
      <c r="K96" s="18" t="inlineStr">
        <is>
          <t>{"unavailable_or_timeout": 1}</t>
        </is>
      </c>
      <c r="L96" s="18" t="inlineStr">
        <is>
          <t>C:\Users\Couch\Documents\Claude\Projects\Home of Claude - MSI Auto Project\orchestrator_contracts\local_model_operation_scores_2026-06-07.json</t>
        </is>
      </c>
      <c r="M96" s="18" t="inlineStr">
        <is>
          <t>Domain score from deterministic fixture validator.</t>
        </is>
      </c>
    </row>
    <row r="97">
      <c r="A97" s="18" t="inlineStr">
        <is>
          <t>operation_domain</t>
        </is>
      </c>
      <c r="B97" s="18" t="inlineStr">
        <is>
          <t>qwen2.5-coder:7b</t>
        </is>
      </c>
      <c r="C97" s="18" t="inlineStr">
        <is>
          <t>ollama_http</t>
        </is>
      </c>
      <c r="D97" s="18" t="inlineStr">
        <is>
          <t>operations_first_pack_2026-06-07</t>
        </is>
      </c>
      <c r="E97" s="18" t="inlineStr">
        <is>
          <t>role_based_task_execution</t>
        </is>
      </c>
      <c r="F97" s="18" t="n">
        <v>1</v>
      </c>
      <c r="G97" s="18" t="n">
        <v>0</v>
      </c>
      <c r="H97" s="18" t="n">
        <v>0</v>
      </c>
      <c r="I97" s="18" t="inlineStr"/>
      <c r="J97" s="18" t="n"/>
      <c r="K97" s="18" t="inlineStr">
        <is>
          <t>{"unavailable_or_timeout": 1}</t>
        </is>
      </c>
      <c r="L97" s="18" t="inlineStr">
        <is>
          <t>C:\Users\Couch\Documents\Claude\Projects\Home of Claude - MSI Auto Project\orchestrator_contracts\local_model_operation_scores_2026-06-07.json</t>
        </is>
      </c>
      <c r="M97" s="18" t="inlineStr">
        <is>
          <t>Domain score from deterministic fixture validator.</t>
        </is>
      </c>
    </row>
    <row r="98">
      <c r="A98" s="18" t="inlineStr">
        <is>
          <t>operation_overall</t>
        </is>
      </c>
      <c r="B98" s="18" t="inlineStr">
        <is>
          <t>qwen3.5:9b</t>
        </is>
      </c>
      <c r="C98" s="18" t="inlineStr">
        <is>
          <t>ollama_http</t>
        </is>
      </c>
      <c r="D98" s="18" t="inlineStr">
        <is>
          <t>operations_first_pack_2026-06-07</t>
        </is>
      </c>
      <c r="E98" s="18" t="inlineStr">
        <is>
          <t>all_operation_domains</t>
        </is>
      </c>
      <c r="F98" s="18" t="n">
        <v>13</v>
      </c>
      <c r="G98" s="18" t="n">
        <v>0</v>
      </c>
      <c r="H98" s="18" t="n">
        <v>0</v>
      </c>
      <c r="I98" s="18" t="inlineStr"/>
      <c r="J98" s="18" t="n">
        <v>55169.6</v>
      </c>
      <c r="K98" s="18" t="inlineStr">
        <is>
          <t>{"json_parse_error": 1, "validator_failure": 12}</t>
        </is>
      </c>
      <c r="L98" s="18" t="inlineStr">
        <is>
          <t>C:\Users\Couch\Documents\Claude\Projects\Home of Claude - MSI Auto Project\orchestrator_contracts\local_model_operation_scores_2026-06-07.json</t>
        </is>
      </c>
      <c r="M98" s="18" t="inlineStr">
        <is>
          <t>Strict one-trial operation fixture matrix; route only where validators pass.</t>
        </is>
      </c>
    </row>
    <row r="99">
      <c r="A99" s="18" t="inlineStr">
        <is>
          <t>operation_domain</t>
        </is>
      </c>
      <c r="B99" s="18" t="inlineStr">
        <is>
          <t>qwen3.5:9b</t>
        </is>
      </c>
      <c r="C99" s="18" t="inlineStr">
        <is>
          <t>ollama_http</t>
        </is>
      </c>
      <c r="D99" s="18" t="inlineStr">
        <is>
          <t>operations_first_pack_2026-06-07</t>
        </is>
      </c>
      <c r="E99" s="18" t="inlineStr">
        <is>
          <t>compliance_policy</t>
        </is>
      </c>
      <c r="F99" s="18" t="n">
        <v>1</v>
      </c>
      <c r="G99" s="18" t="n">
        <v>0</v>
      </c>
      <c r="H99" s="18" t="n">
        <v>0</v>
      </c>
      <c r="I99" s="18" t="inlineStr"/>
      <c r="J99" s="18" t="n">
        <v>46823.5</v>
      </c>
      <c r="K99" s="18" t="inlineStr">
        <is>
          <t>{"validator_failure": 1}</t>
        </is>
      </c>
      <c r="L99" s="18" t="inlineStr">
        <is>
          <t>C:\Users\Couch\Documents\Claude\Projects\Home of Claude - MSI Auto Project\orchestrator_contracts\local_model_operation_scores_2026-06-07.json</t>
        </is>
      </c>
      <c r="M99" s="18" t="inlineStr">
        <is>
          <t>Domain score from deterministic fixture validator.</t>
        </is>
      </c>
    </row>
    <row r="100">
      <c r="A100" s="18" t="inlineStr">
        <is>
          <t>operation_domain</t>
        </is>
      </c>
      <c r="B100" s="18" t="inlineStr">
        <is>
          <t>qwen3.5:9b</t>
        </is>
      </c>
      <c r="C100" s="18" t="inlineStr">
        <is>
          <t>ollama_http</t>
        </is>
      </c>
      <c r="D100" s="18" t="inlineStr">
        <is>
          <t>operations_first_pack_2026-06-07</t>
        </is>
      </c>
      <c r="E100" s="18" t="inlineStr">
        <is>
          <t>computer_control_app_use</t>
        </is>
      </c>
      <c r="F100" s="18" t="n">
        <v>1</v>
      </c>
      <c r="G100" s="18" t="n">
        <v>0</v>
      </c>
      <c r="H100" s="18" t="n">
        <v>0</v>
      </c>
      <c r="I100" s="18" t="inlineStr"/>
      <c r="J100" s="18" t="n">
        <v>57507.1</v>
      </c>
      <c r="K100" s="18" t="inlineStr">
        <is>
          <t>{"validator_failure": 1}</t>
        </is>
      </c>
      <c r="L100" s="18" t="inlineStr">
        <is>
          <t>C:\Users\Couch\Documents\Claude\Projects\Home of Claude - MSI Auto Project\orchestrator_contracts\local_model_operation_scores_2026-06-07.json</t>
        </is>
      </c>
      <c r="M100" s="18" t="inlineStr">
        <is>
          <t>Domain score from deterministic fixture validator.</t>
        </is>
      </c>
    </row>
    <row r="101">
      <c r="A101" s="18" t="inlineStr">
        <is>
          <t>operation_domain</t>
        </is>
      </c>
      <c r="B101" s="18" t="inlineStr">
        <is>
          <t>qwen3.5:9b</t>
        </is>
      </c>
      <c r="C101" s="18" t="inlineStr">
        <is>
          <t>ollama_http</t>
        </is>
      </c>
      <c r="D101" s="18" t="inlineStr">
        <is>
          <t>operations_first_pack_2026-06-07</t>
        </is>
      </c>
      <c r="E101" s="18" t="inlineStr">
        <is>
          <t>conceptualization_strategy</t>
        </is>
      </c>
      <c r="F101" s="18" t="n">
        <v>1</v>
      </c>
      <c r="G101" s="18" t="n">
        <v>0</v>
      </c>
      <c r="H101" s="18" t="n">
        <v>0</v>
      </c>
      <c r="I101" s="18" t="inlineStr"/>
      <c r="J101" s="18" t="n">
        <v>63655.8</v>
      </c>
      <c r="K101" s="18" t="inlineStr">
        <is>
          <t>{"validator_failure": 1}</t>
        </is>
      </c>
      <c r="L101" s="18" t="inlineStr">
        <is>
          <t>C:\Users\Couch\Documents\Claude\Projects\Home of Claude - MSI Auto Project\orchestrator_contracts\local_model_operation_scores_2026-06-07.json</t>
        </is>
      </c>
      <c r="M101" s="18" t="inlineStr">
        <is>
          <t>Domain score from deterministic fixture validator.</t>
        </is>
      </c>
    </row>
    <row r="102">
      <c r="A102" s="18" t="inlineStr">
        <is>
          <t>operation_domain</t>
        </is>
      </c>
      <c r="B102" s="18" t="inlineStr">
        <is>
          <t>qwen3.5:9b</t>
        </is>
      </c>
      <c r="C102" s="18" t="inlineStr">
        <is>
          <t>ollama_http</t>
        </is>
      </c>
      <c r="D102" s="18" t="inlineStr">
        <is>
          <t>operations_first_pack_2026-06-07</t>
        </is>
      </c>
      <c r="E102" s="18" t="inlineStr">
        <is>
          <t>data_analytics_kpi_diagnostics</t>
        </is>
      </c>
      <c r="F102" s="18" t="n">
        <v>1</v>
      </c>
      <c r="G102" s="18" t="n">
        <v>0</v>
      </c>
      <c r="H102" s="18" t="n">
        <v>0</v>
      </c>
      <c r="I102" s="18" t="inlineStr"/>
      <c r="J102" s="18" t="n">
        <v>34912.8</v>
      </c>
      <c r="K102" s="18" t="inlineStr">
        <is>
          <t>{"validator_failure": 1}</t>
        </is>
      </c>
      <c r="L102" s="18" t="inlineStr">
        <is>
          <t>C:\Users\Couch\Documents\Claude\Projects\Home of Claude - MSI Auto Project\orchestrator_contracts\local_model_operation_scores_2026-06-07.json</t>
        </is>
      </c>
      <c r="M102" s="18" t="inlineStr">
        <is>
          <t>Domain score from deterministic fixture validator.</t>
        </is>
      </c>
    </row>
    <row r="103">
      <c r="A103" s="18" t="inlineStr">
        <is>
          <t>operation_domain</t>
        </is>
      </c>
      <c r="B103" s="18" t="inlineStr">
        <is>
          <t>qwen3.5:9b</t>
        </is>
      </c>
      <c r="C103" s="18" t="inlineStr">
        <is>
          <t>ollama_http</t>
        </is>
      </c>
      <c r="D103" s="18" t="inlineStr">
        <is>
          <t>operations_first_pack_2026-06-07</t>
        </is>
      </c>
      <c r="E103" s="18" t="inlineStr">
        <is>
          <t>financial_operations</t>
        </is>
      </c>
      <c r="F103" s="18" t="n">
        <v>1</v>
      </c>
      <c r="G103" s="18" t="n">
        <v>0</v>
      </c>
      <c r="H103" s="18" t="n">
        <v>0</v>
      </c>
      <c r="I103" s="18" t="inlineStr"/>
      <c r="J103" s="18" t="n">
        <v>49190.7</v>
      </c>
      <c r="K103" s="18" t="inlineStr">
        <is>
          <t>{"validator_failure": 1}</t>
        </is>
      </c>
      <c r="L103" s="18" t="inlineStr">
        <is>
          <t>C:\Users\Couch\Documents\Claude\Projects\Home of Claude - MSI Auto Project\orchestrator_contracts\local_model_operation_scores_2026-06-07.json</t>
        </is>
      </c>
      <c r="M103" s="18" t="inlineStr">
        <is>
          <t>Domain score from deterministic fixture validator.</t>
        </is>
      </c>
    </row>
    <row r="104">
      <c r="A104" s="18" t="inlineStr">
        <is>
          <t>operation_domain</t>
        </is>
      </c>
      <c r="B104" s="18" t="inlineStr">
        <is>
          <t>qwen3.5:9b</t>
        </is>
      </c>
      <c r="C104" s="18" t="inlineStr">
        <is>
          <t>ollama_http</t>
        </is>
      </c>
      <c r="D104" s="18" t="inlineStr">
        <is>
          <t>operations_first_pack_2026-06-07</t>
        </is>
      </c>
      <c r="E104" s="18" t="inlineStr">
        <is>
          <t>full_business_operations</t>
        </is>
      </c>
      <c r="F104" s="18" t="n">
        <v>1</v>
      </c>
      <c r="G104" s="18" t="n">
        <v>0</v>
      </c>
      <c r="H104" s="18" t="n">
        <v>0</v>
      </c>
      <c r="I104" s="18" t="inlineStr"/>
      <c r="J104" s="18" t="n">
        <v>78756.7</v>
      </c>
      <c r="K104" s="18" t="inlineStr">
        <is>
          <t>{"validator_failure": 1}</t>
        </is>
      </c>
      <c r="L104" s="18" t="inlineStr">
        <is>
          <t>C:\Users\Couch\Documents\Claude\Projects\Home of Claude - MSI Auto Project\orchestrator_contracts\local_model_operation_scores_2026-06-07.json</t>
        </is>
      </c>
      <c r="M104" s="18" t="inlineStr">
        <is>
          <t>Domain score from deterministic fixture validator.</t>
        </is>
      </c>
    </row>
    <row r="105">
      <c r="A105" s="18" t="inlineStr">
        <is>
          <t>operation_domain</t>
        </is>
      </c>
      <c r="B105" s="18" t="inlineStr">
        <is>
          <t>qwen3.5:9b</t>
        </is>
      </c>
      <c r="C105" s="18" t="inlineStr">
        <is>
          <t>ollama_http</t>
        </is>
      </c>
      <c r="D105" s="18" t="inlineStr">
        <is>
          <t>operations_first_pack_2026-06-07</t>
        </is>
      </c>
      <c r="E105" s="18" t="inlineStr">
        <is>
          <t>market_forecasting_backtest</t>
        </is>
      </c>
      <c r="F105" s="18" t="n">
        <v>1</v>
      </c>
      <c r="G105" s="18" t="n">
        <v>0</v>
      </c>
      <c r="H105" s="18" t="n">
        <v>0</v>
      </c>
      <c r="I105" s="18" t="inlineStr"/>
      <c r="J105" s="18" t="n">
        <v>70968</v>
      </c>
      <c r="K105" s="18" t="inlineStr">
        <is>
          <t>{"validator_failure": 1}</t>
        </is>
      </c>
      <c r="L105" s="18" t="inlineStr">
        <is>
          <t>C:\Users\Couch\Documents\Claude\Projects\Home of Claude - MSI Auto Project\orchestrator_contracts\local_model_operation_scores_2026-06-07.json</t>
        </is>
      </c>
      <c r="M105" s="18" t="inlineStr">
        <is>
          <t>Domain score from deterministic fixture validator.</t>
        </is>
      </c>
    </row>
    <row r="106">
      <c r="A106" s="18" t="inlineStr">
        <is>
          <t>operation_domain</t>
        </is>
      </c>
      <c r="B106" s="18" t="inlineStr">
        <is>
          <t>qwen3.5:9b</t>
        </is>
      </c>
      <c r="C106" s="18" t="inlineStr">
        <is>
          <t>ollama_http</t>
        </is>
      </c>
      <c r="D106" s="18" t="inlineStr">
        <is>
          <t>operations_first_pack_2026-06-07</t>
        </is>
      </c>
      <c r="E106" s="18" t="inlineStr">
        <is>
          <t>memory_context_management</t>
        </is>
      </c>
      <c r="F106" s="18" t="n">
        <v>1</v>
      </c>
      <c r="G106" s="18" t="n">
        <v>0</v>
      </c>
      <c r="H106" s="18" t="n">
        <v>0</v>
      </c>
      <c r="I106" s="18" t="inlineStr"/>
      <c r="J106" s="18" t="n">
        <v>36991.9</v>
      </c>
      <c r="K106" s="18" t="inlineStr">
        <is>
          <t>{"validator_failure": 1}</t>
        </is>
      </c>
      <c r="L106" s="18" t="inlineStr">
        <is>
          <t>C:\Users\Couch\Documents\Claude\Projects\Home of Claude - MSI Auto Project\orchestrator_contracts\local_model_operation_scores_2026-06-07.json</t>
        </is>
      </c>
      <c r="M106" s="18" t="inlineStr">
        <is>
          <t>Domain score from deterministic fixture validator.</t>
        </is>
      </c>
    </row>
    <row r="107">
      <c r="A107" s="18" t="inlineStr">
        <is>
          <t>operation_domain</t>
        </is>
      </c>
      <c r="B107" s="18" t="inlineStr">
        <is>
          <t>qwen3.5:9b</t>
        </is>
      </c>
      <c r="C107" s="18" t="inlineStr">
        <is>
          <t>ollama_http</t>
        </is>
      </c>
      <c r="D107" s="18" t="inlineStr">
        <is>
          <t>operations_first_pack_2026-06-07</t>
        </is>
      </c>
      <c r="E107" s="18" t="inlineStr">
        <is>
          <t>model_to_model_orchestration</t>
        </is>
      </c>
      <c r="F107" s="18" t="n">
        <v>1</v>
      </c>
      <c r="G107" s="18" t="n">
        <v>0</v>
      </c>
      <c r="H107" s="18" t="n">
        <v>0</v>
      </c>
      <c r="I107" s="18" t="inlineStr"/>
      <c r="J107" s="18" t="n">
        <v>33384.5</v>
      </c>
      <c r="K107" s="18" t="inlineStr">
        <is>
          <t>{"validator_failure": 1}</t>
        </is>
      </c>
      <c r="L107" s="18" t="inlineStr">
        <is>
          <t>C:\Users\Couch\Documents\Claude\Projects\Home of Claude - MSI Auto Project\orchestrator_contracts\local_model_operation_scores_2026-06-07.json</t>
        </is>
      </c>
      <c r="M107" s="18" t="inlineStr">
        <is>
          <t>Domain score from deterministic fixture validator.</t>
        </is>
      </c>
    </row>
    <row r="108">
      <c r="A108" s="18" t="inlineStr">
        <is>
          <t>operation_domain</t>
        </is>
      </c>
      <c r="B108" s="18" t="inlineStr">
        <is>
          <t>qwen3.5:9b</t>
        </is>
      </c>
      <c r="C108" s="18" t="inlineStr">
        <is>
          <t>ollama_http</t>
        </is>
      </c>
      <c r="D108" s="18" t="inlineStr">
        <is>
          <t>operations_first_pack_2026-06-07</t>
        </is>
      </c>
      <c r="E108" s="18" t="inlineStr">
        <is>
          <t>multi_agent_decomposition</t>
        </is>
      </c>
      <c r="F108" s="18" t="n">
        <v>1</v>
      </c>
      <c r="G108" s="18" t="n">
        <v>0</v>
      </c>
      <c r="H108" s="18" t="n">
        <v>0</v>
      </c>
      <c r="I108" s="18" t="inlineStr"/>
      <c r="J108" s="18" t="n">
        <v>62181.3</v>
      </c>
      <c r="K108" s="18" t="inlineStr">
        <is>
          <t>{"validator_failure": 1}</t>
        </is>
      </c>
      <c r="L108" s="18" t="inlineStr">
        <is>
          <t>C:\Users\Couch\Documents\Claude\Projects\Home of Claude - MSI Auto Project\orchestrator_contracts\local_model_operation_scores_2026-06-07.json</t>
        </is>
      </c>
      <c r="M108" s="18" t="inlineStr">
        <is>
          <t>Domain score from deterministic fixture validator.</t>
        </is>
      </c>
    </row>
    <row r="109">
      <c r="A109" s="18" t="inlineStr">
        <is>
          <t>operation_domain</t>
        </is>
      </c>
      <c r="B109" s="18" t="inlineStr">
        <is>
          <t>qwen3.5:9b</t>
        </is>
      </c>
      <c r="C109" s="18" t="inlineStr">
        <is>
          <t>ollama_http</t>
        </is>
      </c>
      <c r="D109" s="18" t="inlineStr">
        <is>
          <t>operations_first_pack_2026-06-07</t>
        </is>
      </c>
      <c r="E109" s="18" t="inlineStr">
        <is>
          <t>public_content_law</t>
        </is>
      </c>
      <c r="F109" s="18" t="n">
        <v>1</v>
      </c>
      <c r="G109" s="18" t="n">
        <v>0</v>
      </c>
      <c r="H109" s="18" t="n">
        <v>0</v>
      </c>
      <c r="I109" s="18" t="inlineStr"/>
      <c r="J109" s="18" t="n">
        <v>27466.8</v>
      </c>
      <c r="K109" s="18" t="inlineStr">
        <is>
          <t>{"validator_failure": 1}</t>
        </is>
      </c>
      <c r="L109" s="18" t="inlineStr">
        <is>
          <t>C:\Users\Couch\Documents\Claude\Projects\Home of Claude - MSI Auto Project\orchestrator_contracts\local_model_operation_scores_2026-06-07.json</t>
        </is>
      </c>
      <c r="M109" s="18" t="inlineStr">
        <is>
          <t>Domain score from deterministic fixture validator.</t>
        </is>
      </c>
    </row>
    <row r="110">
      <c r="A110" s="18" t="inlineStr">
        <is>
          <t>operation_domain</t>
        </is>
      </c>
      <c r="B110" s="18" t="inlineStr">
        <is>
          <t>qwen3.5:9b</t>
        </is>
      </c>
      <c r="C110" s="18" t="inlineStr">
        <is>
          <t>ollama_http</t>
        </is>
      </c>
      <c r="D110" s="18" t="inlineStr">
        <is>
          <t>operations_first_pack_2026-06-07</t>
        </is>
      </c>
      <c r="E110" s="18" t="inlineStr">
        <is>
          <t>regex_pattern_creation</t>
        </is>
      </c>
      <c r="F110" s="18" t="n">
        <v>1</v>
      </c>
      <c r="G110" s="18" t="n">
        <v>0</v>
      </c>
      <c r="H110" s="18" t="n">
        <v>0</v>
      </c>
      <c r="I110" s="18" t="inlineStr"/>
      <c r="J110" s="18" t="n">
        <v>81803.8</v>
      </c>
      <c r="K110" s="18" t="inlineStr">
        <is>
          <t>{"validator_failure": 1}</t>
        </is>
      </c>
      <c r="L110" s="18" t="inlineStr">
        <is>
          <t>C:\Users\Couch\Documents\Claude\Projects\Home of Claude - MSI Auto Project\orchestrator_contracts\local_model_operation_scores_2026-06-07.json</t>
        </is>
      </c>
      <c r="M110" s="18" t="inlineStr">
        <is>
          <t>Domain score from deterministic fixture validator.</t>
        </is>
      </c>
    </row>
    <row r="111">
      <c r="A111" s="18" t="inlineStr">
        <is>
          <t>operation_domain</t>
        </is>
      </c>
      <c r="B111" s="18" t="inlineStr">
        <is>
          <t>qwen3.5:9b</t>
        </is>
      </c>
      <c r="C111" s="18" t="inlineStr">
        <is>
          <t>ollama_http</t>
        </is>
      </c>
      <c r="D111" s="18" t="inlineStr">
        <is>
          <t>operations_first_pack_2026-06-07</t>
        </is>
      </c>
      <c r="E111" s="18" t="inlineStr">
        <is>
          <t>role_based_task_execution</t>
        </is>
      </c>
      <c r="F111" s="18" t="n">
        <v>1</v>
      </c>
      <c r="G111" s="18" t="n">
        <v>0</v>
      </c>
      <c r="H111" s="18" t="n">
        <v>0</v>
      </c>
      <c r="I111" s="18" t="inlineStr"/>
      <c r="J111" s="18" t="n">
        <v>73561.3</v>
      </c>
      <c r="K111" s="18" t="inlineStr">
        <is>
          <t>{"json_parse_error": 1}</t>
        </is>
      </c>
      <c r="L111" s="18" t="inlineStr">
        <is>
          <t>C:\Users\Couch\Documents\Claude\Projects\Home of Claude - MSI Auto Project\orchestrator_contracts\local_model_operation_scores_2026-06-07.json</t>
        </is>
      </c>
      <c r="M111" s="18" t="inlineStr">
        <is>
          <t>Domain score from deterministic fixture validator.</t>
        </is>
      </c>
    </row>
    <row r="112">
      <c r="A112" s="18" t="inlineStr">
        <is>
          <t>operation_overall</t>
        </is>
      </c>
      <c r="B112" s="18" t="inlineStr">
        <is>
          <t>qwen3:8b</t>
        </is>
      </c>
      <c r="C112" s="18" t="inlineStr">
        <is>
          <t>ollama_http</t>
        </is>
      </c>
      <c r="D112" s="18" t="inlineStr">
        <is>
          <t>operations_first_pack_2026-06-07</t>
        </is>
      </c>
      <c r="E112" s="18" t="inlineStr">
        <is>
          <t>all_operation_domains</t>
        </is>
      </c>
      <c r="F112" s="18" t="n">
        <v>13</v>
      </c>
      <c r="G112" s="18" t="n">
        <v>0</v>
      </c>
      <c r="H112" s="18" t="n">
        <v>0</v>
      </c>
      <c r="I112" s="18" t="inlineStr"/>
      <c r="J112" s="18" t="n"/>
      <c r="K112" s="18" t="inlineStr">
        <is>
          <t>{"unavailable_or_timeout": 13}</t>
        </is>
      </c>
      <c r="L112" s="18" t="inlineStr">
        <is>
          <t>C:\Users\Couch\Documents\Claude\Projects\Home of Claude - MSI Auto Project\orchestrator_contracts\local_model_operation_scores_2026-06-07.json</t>
        </is>
      </c>
      <c r="M112" s="18" t="inlineStr">
        <is>
          <t>Strict one-trial operation fixture matrix; route only where validators pass.</t>
        </is>
      </c>
    </row>
    <row r="113">
      <c r="A113" s="18" t="inlineStr">
        <is>
          <t>operation_domain</t>
        </is>
      </c>
      <c r="B113" s="18" t="inlineStr">
        <is>
          <t>qwen3:8b</t>
        </is>
      </c>
      <c r="C113" s="18" t="inlineStr">
        <is>
          <t>ollama_http</t>
        </is>
      </c>
      <c r="D113" s="18" t="inlineStr">
        <is>
          <t>operations_first_pack_2026-06-07</t>
        </is>
      </c>
      <c r="E113" s="18" t="inlineStr">
        <is>
          <t>compliance_policy</t>
        </is>
      </c>
      <c r="F113" s="18" t="n">
        <v>1</v>
      </c>
      <c r="G113" s="18" t="n">
        <v>0</v>
      </c>
      <c r="H113" s="18" t="n">
        <v>0</v>
      </c>
      <c r="I113" s="18" t="inlineStr"/>
      <c r="J113" s="18" t="n"/>
      <c r="K113" s="18" t="inlineStr">
        <is>
          <t>{"unavailable_or_timeout": 1}</t>
        </is>
      </c>
      <c r="L113" s="18" t="inlineStr">
        <is>
          <t>C:\Users\Couch\Documents\Claude\Projects\Home of Claude - MSI Auto Project\orchestrator_contracts\local_model_operation_scores_2026-06-07.json</t>
        </is>
      </c>
      <c r="M113" s="18" t="inlineStr">
        <is>
          <t>Domain score from deterministic fixture validator.</t>
        </is>
      </c>
    </row>
    <row r="114">
      <c r="A114" s="18" t="inlineStr">
        <is>
          <t>operation_domain</t>
        </is>
      </c>
      <c r="B114" s="18" t="inlineStr">
        <is>
          <t>qwen3:8b</t>
        </is>
      </c>
      <c r="C114" s="18" t="inlineStr">
        <is>
          <t>ollama_http</t>
        </is>
      </c>
      <c r="D114" s="18" t="inlineStr">
        <is>
          <t>operations_first_pack_2026-06-07</t>
        </is>
      </c>
      <c r="E114" s="18" t="inlineStr">
        <is>
          <t>computer_control_app_use</t>
        </is>
      </c>
      <c r="F114" s="18" t="n">
        <v>1</v>
      </c>
      <c r="G114" s="18" t="n">
        <v>0</v>
      </c>
      <c r="H114" s="18" t="n">
        <v>0</v>
      </c>
      <c r="I114" s="18" t="inlineStr"/>
      <c r="J114" s="18" t="n"/>
      <c r="K114" s="18" t="inlineStr">
        <is>
          <t>{"unavailable_or_timeout": 1}</t>
        </is>
      </c>
      <c r="L114" s="18" t="inlineStr">
        <is>
          <t>C:\Users\Couch\Documents\Claude\Projects\Home of Claude - MSI Auto Project\orchestrator_contracts\local_model_operation_scores_2026-06-07.json</t>
        </is>
      </c>
      <c r="M114" s="18" t="inlineStr">
        <is>
          <t>Domain score from deterministic fixture validator.</t>
        </is>
      </c>
    </row>
    <row r="115">
      <c r="A115" s="18" t="inlineStr">
        <is>
          <t>operation_domain</t>
        </is>
      </c>
      <c r="B115" s="18" t="inlineStr">
        <is>
          <t>qwen3:8b</t>
        </is>
      </c>
      <c r="C115" s="18" t="inlineStr">
        <is>
          <t>ollama_http</t>
        </is>
      </c>
      <c r="D115" s="18" t="inlineStr">
        <is>
          <t>operations_first_pack_2026-06-07</t>
        </is>
      </c>
      <c r="E115" s="18" t="inlineStr">
        <is>
          <t>conceptualization_strategy</t>
        </is>
      </c>
      <c r="F115" s="18" t="n">
        <v>1</v>
      </c>
      <c r="G115" s="18" t="n">
        <v>0</v>
      </c>
      <c r="H115" s="18" t="n">
        <v>0</v>
      </c>
      <c r="I115" s="18" t="inlineStr"/>
      <c r="J115" s="18" t="n"/>
      <c r="K115" s="18" t="inlineStr">
        <is>
          <t>{"unavailable_or_timeout": 1}</t>
        </is>
      </c>
      <c r="L115" s="18" t="inlineStr">
        <is>
          <t>C:\Users\Couch\Documents\Claude\Projects\Home of Claude - MSI Auto Project\orchestrator_contracts\local_model_operation_scores_2026-06-07.json</t>
        </is>
      </c>
      <c r="M115" s="18" t="inlineStr">
        <is>
          <t>Domain score from deterministic fixture validator.</t>
        </is>
      </c>
    </row>
    <row r="116">
      <c r="A116" s="18" t="inlineStr">
        <is>
          <t>operation_domain</t>
        </is>
      </c>
      <c r="B116" s="18" t="inlineStr">
        <is>
          <t>qwen3:8b</t>
        </is>
      </c>
      <c r="C116" s="18" t="inlineStr">
        <is>
          <t>ollama_http</t>
        </is>
      </c>
      <c r="D116" s="18" t="inlineStr">
        <is>
          <t>operations_first_pack_2026-06-07</t>
        </is>
      </c>
      <c r="E116" s="18" t="inlineStr">
        <is>
          <t>data_analytics_kpi_diagnostics</t>
        </is>
      </c>
      <c r="F116" s="18" t="n">
        <v>1</v>
      </c>
      <c r="G116" s="18" t="n">
        <v>0</v>
      </c>
      <c r="H116" s="18" t="n">
        <v>0</v>
      </c>
      <c r="I116" s="18" t="inlineStr"/>
      <c r="J116" s="18" t="n"/>
      <c r="K116" s="18" t="inlineStr">
        <is>
          <t>{"unavailable_or_timeout": 1}</t>
        </is>
      </c>
      <c r="L116" s="18" t="inlineStr">
        <is>
          <t>C:\Users\Couch\Documents\Claude\Projects\Home of Claude - MSI Auto Project\orchestrator_contracts\local_model_operation_scores_2026-06-07.json</t>
        </is>
      </c>
      <c r="M116" s="18" t="inlineStr">
        <is>
          <t>Domain score from deterministic fixture validator.</t>
        </is>
      </c>
    </row>
    <row r="117">
      <c r="A117" s="18" t="inlineStr">
        <is>
          <t>operation_domain</t>
        </is>
      </c>
      <c r="B117" s="18" t="inlineStr">
        <is>
          <t>qwen3:8b</t>
        </is>
      </c>
      <c r="C117" s="18" t="inlineStr">
        <is>
          <t>ollama_http</t>
        </is>
      </c>
      <c r="D117" s="18" t="inlineStr">
        <is>
          <t>operations_first_pack_2026-06-07</t>
        </is>
      </c>
      <c r="E117" s="18" t="inlineStr">
        <is>
          <t>financial_operations</t>
        </is>
      </c>
      <c r="F117" s="18" t="n">
        <v>1</v>
      </c>
      <c r="G117" s="18" t="n">
        <v>0</v>
      </c>
      <c r="H117" s="18" t="n">
        <v>0</v>
      </c>
      <c r="I117" s="18" t="inlineStr"/>
      <c r="J117" s="18" t="n"/>
      <c r="K117" s="18" t="inlineStr">
        <is>
          <t>{"unavailable_or_timeout": 1}</t>
        </is>
      </c>
      <c r="L117" s="18" t="inlineStr">
        <is>
          <t>C:\Users\Couch\Documents\Claude\Projects\Home of Claude - MSI Auto Project\orchestrator_contracts\local_model_operation_scores_2026-06-07.json</t>
        </is>
      </c>
      <c r="M117" s="18" t="inlineStr">
        <is>
          <t>Domain score from deterministic fixture validator.</t>
        </is>
      </c>
    </row>
    <row r="118">
      <c r="A118" s="18" t="inlineStr">
        <is>
          <t>operation_domain</t>
        </is>
      </c>
      <c r="B118" s="18" t="inlineStr">
        <is>
          <t>qwen3:8b</t>
        </is>
      </c>
      <c r="C118" s="18" t="inlineStr">
        <is>
          <t>ollama_http</t>
        </is>
      </c>
      <c r="D118" s="18" t="inlineStr">
        <is>
          <t>operations_first_pack_2026-06-07</t>
        </is>
      </c>
      <c r="E118" s="18" t="inlineStr">
        <is>
          <t>full_business_operations</t>
        </is>
      </c>
      <c r="F118" s="18" t="n">
        <v>1</v>
      </c>
      <c r="G118" s="18" t="n">
        <v>0</v>
      </c>
      <c r="H118" s="18" t="n">
        <v>0</v>
      </c>
      <c r="I118" s="18" t="inlineStr"/>
      <c r="J118" s="18" t="n"/>
      <c r="K118" s="18" t="inlineStr">
        <is>
          <t>{"unavailable_or_timeout": 1}</t>
        </is>
      </c>
      <c r="L118" s="18" t="inlineStr">
        <is>
          <t>C:\Users\Couch\Documents\Claude\Projects\Home of Claude - MSI Auto Project\orchestrator_contracts\local_model_operation_scores_2026-06-07.json</t>
        </is>
      </c>
      <c r="M118" s="18" t="inlineStr">
        <is>
          <t>Domain score from deterministic fixture validator.</t>
        </is>
      </c>
    </row>
    <row r="119">
      <c r="A119" s="18" t="inlineStr">
        <is>
          <t>operation_domain</t>
        </is>
      </c>
      <c r="B119" s="18" t="inlineStr">
        <is>
          <t>qwen3:8b</t>
        </is>
      </c>
      <c r="C119" s="18" t="inlineStr">
        <is>
          <t>ollama_http</t>
        </is>
      </c>
      <c r="D119" s="18" t="inlineStr">
        <is>
          <t>operations_first_pack_2026-06-07</t>
        </is>
      </c>
      <c r="E119" s="18" t="inlineStr">
        <is>
          <t>market_forecasting_backtest</t>
        </is>
      </c>
      <c r="F119" s="18" t="n">
        <v>1</v>
      </c>
      <c r="G119" s="18" t="n">
        <v>0</v>
      </c>
      <c r="H119" s="18" t="n">
        <v>0</v>
      </c>
      <c r="I119" s="18" t="inlineStr"/>
      <c r="J119" s="18" t="n"/>
      <c r="K119" s="18" t="inlineStr">
        <is>
          <t>{"unavailable_or_timeout": 1}</t>
        </is>
      </c>
      <c r="L119" s="18" t="inlineStr">
        <is>
          <t>C:\Users\Couch\Documents\Claude\Projects\Home of Claude - MSI Auto Project\orchestrator_contracts\local_model_operation_scores_2026-06-07.json</t>
        </is>
      </c>
      <c r="M119" s="18" t="inlineStr">
        <is>
          <t>Domain score from deterministic fixture validator.</t>
        </is>
      </c>
    </row>
    <row r="120">
      <c r="A120" s="18" t="inlineStr">
        <is>
          <t>operation_domain</t>
        </is>
      </c>
      <c r="B120" s="18" t="inlineStr">
        <is>
          <t>qwen3:8b</t>
        </is>
      </c>
      <c r="C120" s="18" t="inlineStr">
        <is>
          <t>ollama_http</t>
        </is>
      </c>
      <c r="D120" s="18" t="inlineStr">
        <is>
          <t>operations_first_pack_2026-06-07</t>
        </is>
      </c>
      <c r="E120" s="18" t="inlineStr">
        <is>
          <t>memory_context_management</t>
        </is>
      </c>
      <c r="F120" s="18" t="n">
        <v>1</v>
      </c>
      <c r="G120" s="18" t="n">
        <v>0</v>
      </c>
      <c r="H120" s="18" t="n">
        <v>0</v>
      </c>
      <c r="I120" s="18" t="inlineStr"/>
      <c r="J120" s="18" t="n"/>
      <c r="K120" s="18" t="inlineStr">
        <is>
          <t>{"unavailable_or_timeout": 1}</t>
        </is>
      </c>
      <c r="L120" s="18" t="inlineStr">
        <is>
          <t>C:\Users\Couch\Documents\Claude\Projects\Home of Claude - MSI Auto Project\orchestrator_contracts\local_model_operation_scores_2026-06-07.json</t>
        </is>
      </c>
      <c r="M120" s="18" t="inlineStr">
        <is>
          <t>Domain score from deterministic fixture validator.</t>
        </is>
      </c>
    </row>
    <row r="121">
      <c r="A121" s="18" t="inlineStr">
        <is>
          <t>operation_domain</t>
        </is>
      </c>
      <c r="B121" s="18" t="inlineStr">
        <is>
          <t>qwen3:8b</t>
        </is>
      </c>
      <c r="C121" s="18" t="inlineStr">
        <is>
          <t>ollama_http</t>
        </is>
      </c>
      <c r="D121" s="18" t="inlineStr">
        <is>
          <t>operations_first_pack_2026-06-07</t>
        </is>
      </c>
      <c r="E121" s="18" t="inlineStr">
        <is>
          <t>model_to_model_orchestration</t>
        </is>
      </c>
      <c r="F121" s="18" t="n">
        <v>1</v>
      </c>
      <c r="G121" s="18" t="n">
        <v>0</v>
      </c>
      <c r="H121" s="18" t="n">
        <v>0</v>
      </c>
      <c r="I121" s="18" t="inlineStr"/>
      <c r="J121" s="18" t="n"/>
      <c r="K121" s="18" t="inlineStr">
        <is>
          <t>{"unavailable_or_timeout": 1}</t>
        </is>
      </c>
      <c r="L121" s="18" t="inlineStr">
        <is>
          <t>C:\Users\Couch\Documents\Claude\Projects\Home of Claude - MSI Auto Project\orchestrator_contracts\local_model_operation_scores_2026-06-07.json</t>
        </is>
      </c>
      <c r="M121" s="18" t="inlineStr">
        <is>
          <t>Domain score from deterministic fixture validator.</t>
        </is>
      </c>
    </row>
    <row r="122">
      <c r="A122" s="18" t="inlineStr">
        <is>
          <t>operation_domain</t>
        </is>
      </c>
      <c r="B122" s="18" t="inlineStr">
        <is>
          <t>qwen3:8b</t>
        </is>
      </c>
      <c r="C122" s="18" t="inlineStr">
        <is>
          <t>ollama_http</t>
        </is>
      </c>
      <c r="D122" s="18" t="inlineStr">
        <is>
          <t>operations_first_pack_2026-06-07</t>
        </is>
      </c>
      <c r="E122" s="18" t="inlineStr">
        <is>
          <t>multi_agent_decomposition</t>
        </is>
      </c>
      <c r="F122" s="18" t="n">
        <v>1</v>
      </c>
      <c r="G122" s="18" t="n">
        <v>0</v>
      </c>
      <c r="H122" s="18" t="n">
        <v>0</v>
      </c>
      <c r="I122" s="18" t="inlineStr"/>
      <c r="J122" s="18" t="n"/>
      <c r="K122" s="18" t="inlineStr">
        <is>
          <t>{"unavailable_or_timeout": 1}</t>
        </is>
      </c>
      <c r="L122" s="18" t="inlineStr">
        <is>
          <t>C:\Users\Couch\Documents\Claude\Projects\Home of Claude - MSI Auto Project\orchestrator_contracts\local_model_operation_scores_2026-06-07.json</t>
        </is>
      </c>
      <c r="M122" s="18" t="inlineStr">
        <is>
          <t>Domain score from deterministic fixture validator.</t>
        </is>
      </c>
    </row>
    <row r="123">
      <c r="A123" s="18" t="inlineStr">
        <is>
          <t>operation_domain</t>
        </is>
      </c>
      <c r="B123" s="18" t="inlineStr">
        <is>
          <t>qwen3:8b</t>
        </is>
      </c>
      <c r="C123" s="18" t="inlineStr">
        <is>
          <t>ollama_http</t>
        </is>
      </c>
      <c r="D123" s="18" t="inlineStr">
        <is>
          <t>operations_first_pack_2026-06-07</t>
        </is>
      </c>
      <c r="E123" s="18" t="inlineStr">
        <is>
          <t>public_content_law</t>
        </is>
      </c>
      <c r="F123" s="18" t="n">
        <v>1</v>
      </c>
      <c r="G123" s="18" t="n">
        <v>0</v>
      </c>
      <c r="H123" s="18" t="n">
        <v>0</v>
      </c>
      <c r="I123" s="18" t="inlineStr"/>
      <c r="J123" s="18" t="n"/>
      <c r="K123" s="18" t="inlineStr">
        <is>
          <t>{"unavailable_or_timeout": 1}</t>
        </is>
      </c>
      <c r="L123" s="18" t="inlineStr">
        <is>
          <t>C:\Users\Couch\Documents\Claude\Projects\Home of Claude - MSI Auto Project\orchestrator_contracts\local_model_operation_scores_2026-06-07.json</t>
        </is>
      </c>
      <c r="M123" s="18" t="inlineStr">
        <is>
          <t>Domain score from deterministic fixture validator.</t>
        </is>
      </c>
    </row>
    <row r="124">
      <c r="A124" s="18" t="inlineStr">
        <is>
          <t>operation_domain</t>
        </is>
      </c>
      <c r="B124" s="18" t="inlineStr">
        <is>
          <t>qwen3:8b</t>
        </is>
      </c>
      <c r="C124" s="18" t="inlineStr">
        <is>
          <t>ollama_http</t>
        </is>
      </c>
      <c r="D124" s="18" t="inlineStr">
        <is>
          <t>operations_first_pack_2026-06-07</t>
        </is>
      </c>
      <c r="E124" s="18" t="inlineStr">
        <is>
          <t>regex_pattern_creation</t>
        </is>
      </c>
      <c r="F124" s="18" t="n">
        <v>1</v>
      </c>
      <c r="G124" s="18" t="n">
        <v>0</v>
      </c>
      <c r="H124" s="18" t="n">
        <v>0</v>
      </c>
      <c r="I124" s="18" t="inlineStr"/>
      <c r="J124" s="18" t="n"/>
      <c r="K124" s="18" t="inlineStr">
        <is>
          <t>{"unavailable_or_timeout": 1}</t>
        </is>
      </c>
      <c r="L124" s="18" t="inlineStr">
        <is>
          <t>C:\Users\Couch\Documents\Claude\Projects\Home of Claude - MSI Auto Project\orchestrator_contracts\local_model_operation_scores_2026-06-07.json</t>
        </is>
      </c>
      <c r="M124" s="18" t="inlineStr">
        <is>
          <t>Domain score from deterministic fixture validator.</t>
        </is>
      </c>
    </row>
    <row r="125">
      <c r="A125" s="18" t="inlineStr">
        <is>
          <t>operation_domain</t>
        </is>
      </c>
      <c r="B125" s="18" t="inlineStr">
        <is>
          <t>qwen3:8b</t>
        </is>
      </c>
      <c r="C125" s="18" t="inlineStr">
        <is>
          <t>ollama_http</t>
        </is>
      </c>
      <c r="D125" s="18" t="inlineStr">
        <is>
          <t>operations_first_pack_2026-06-07</t>
        </is>
      </c>
      <c r="E125" s="18" t="inlineStr">
        <is>
          <t>role_based_task_execution</t>
        </is>
      </c>
      <c r="F125" s="18" t="n">
        <v>1</v>
      </c>
      <c r="G125" s="18" t="n">
        <v>0</v>
      </c>
      <c r="H125" s="18" t="n">
        <v>0</v>
      </c>
      <c r="I125" s="18" t="inlineStr"/>
      <c r="J125" s="18" t="n"/>
      <c r="K125" s="18" t="inlineStr">
        <is>
          <t>{"unavailable_or_timeout": 1}</t>
        </is>
      </c>
      <c r="L125" s="18" t="inlineStr">
        <is>
          <t>C:\Users\Couch\Documents\Claude\Projects\Home of Claude - MSI Auto Project\orchestrator_contracts\local_model_operation_scores_2026-06-07.json</t>
        </is>
      </c>
      <c r="M125" s="18" t="inlineStr">
        <is>
          <t>Domain score from deterministic fixture validator.</t>
        </is>
      </c>
    </row>
  </sheetData>
  <autoFilter ref="A1:M1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2026-06-07T21:43:44Z</dcterms:created>
  <dcterms:modified xmlns:dcterms="http://purl.org/dc/terms/" xmlns:xsi="http://www.w3.org/2001/XMLSchema-instance" xsi:type="dcterms:W3CDTF">2026-06-07T21:43:45Z</dcterms:modified>
</cp:coreProperties>
</file>